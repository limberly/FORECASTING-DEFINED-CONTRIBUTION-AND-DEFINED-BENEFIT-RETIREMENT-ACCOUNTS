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ocuments\Actuarial\Summer 2018 Research\bishop\Final\"/>
    </mc:Choice>
  </mc:AlternateContent>
  <xr:revisionPtr revIDLastSave="0" documentId="13_ncr:1_{5623FAF0-852B-4537-B652-622051E91D1D}" xr6:coauthVersionLast="41" xr6:coauthVersionMax="41" xr10:uidLastSave="{00000000-0000-0000-0000-000000000000}"/>
  <bookViews>
    <workbookView xWindow="-120" yWindow="-120" windowWidth="38640" windowHeight="16440" activeTab="12" xr2:uid="{00000000-000D-0000-FFFF-FFFF00000000}"/>
  </bookViews>
  <sheets>
    <sheet name="DBDC age 55" sheetId="5" r:id="rId1"/>
    <sheet name="DBDC age 35_75" sheetId="6" r:id="rId2"/>
    <sheet name="PPAfactors" sheetId="4" state="hidden" r:id="rId3"/>
    <sheet name="Yearly S&amp;P 500" sheetId="23" r:id="rId4"/>
    <sheet name="DC Graded Contribution Fixed" sheetId="24" r:id="rId5"/>
    <sheet name="DC Bootstrap" sheetId="21" r:id="rId6"/>
    <sheet name="Compare_Jim" sheetId="26" r:id="rId7"/>
    <sheet name="Method Comparisons" sheetId="22" r:id="rId8"/>
    <sheet name="PPA Mortality" sheetId="8" r:id="rId9"/>
    <sheet name="PPA rates" sheetId="7" r:id="rId10"/>
    <sheet name="Bootstrap" sheetId="10" state="hidden" r:id="rId11"/>
    <sheet name="Contribution50000" sheetId="25" r:id="rId12"/>
    <sheet name="Sources" sheetId="9" r:id="rId13"/>
    <sheet name="DBDC age 25" sheetId="1" state="hidden" r:id="rId14"/>
  </sheets>
  <externalReferences>
    <externalReference r:id="rId15"/>
  </externalReferences>
  <definedNames>
    <definedName name="_age62">[1]PIA!$B$5</definedName>
    <definedName name="_AGE65">[1]Input!$C$7</definedName>
    <definedName name="age_BCD">[1]Input!$C$10</definedName>
    <definedName name="arith" localSheetId="6">#REF!</definedName>
    <definedName name="arith" localSheetId="5">#REF!</definedName>
    <definedName name="arith">#REF!</definedName>
    <definedName name="backoff">[1]Input!$B$14</definedName>
    <definedName name="BCD">[1]Input!$B$10</definedName>
    <definedName name="bend2" localSheetId="6">#REF!</definedName>
    <definedName name="bend2" localSheetId="5">#REF!</definedName>
    <definedName name="bend2">#REF!</definedName>
    <definedName name="bpi" localSheetId="6">#REF!</definedName>
    <definedName name="bpi" localSheetId="5">#REF!</definedName>
    <definedName name="bpi">#REF!</definedName>
    <definedName name="current_year">[1]PIA!$B$1</definedName>
    <definedName name="DOB">[1]Input!$B$7</definedName>
    <definedName name="DOT">[1]Input!$B$9</definedName>
    <definedName name="ei" localSheetId="6">#REF!</definedName>
    <definedName name="ei" localSheetId="5">#REF!</definedName>
    <definedName name="ei">#REF!</definedName>
    <definedName name="Input_Pay">[1]Input!$A$18:$B$105</definedName>
    <definedName name="late_ret">[1]PIA!$P$19:$Q$86</definedName>
    <definedName name="law_yr">[1]PIA!$B$2</definedName>
    <definedName name="Level">[1]Input!$B$13</definedName>
    <definedName name="nawi" localSheetId="6">#REF!</definedName>
    <definedName name="nawi" localSheetId="5">#REF!</definedName>
    <definedName name="nawi">#REF!</definedName>
    <definedName name="pia_info">[1]PIA!$R$4:$U$35</definedName>
    <definedName name="SalScale">[1]Input!$B$15</definedName>
    <definedName name="SS_1yrEarn">[1]PIA!$B$7</definedName>
    <definedName name="ssnra">[1]PIA!$B$10</definedName>
    <definedName name="SSNRA_table">[1]PIA!$P$88:$R$112</definedName>
    <definedName name="twbi" localSheetId="6">#REF!</definedName>
    <definedName name="twbi" localSheetId="5">#REF!</definedName>
    <definedName name="twbi">#REF!</definedName>
    <definedName name="YRS">[1]PIA!$B$9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3" l="1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2" i="23"/>
  <c r="AC1" i="24" l="1"/>
  <c r="G12" i="2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2" i="23"/>
  <c r="D91" i="22" l="1"/>
  <c r="C91" i="22"/>
  <c r="B91" i="22"/>
  <c r="K1" i="24"/>
  <c r="C81" i="22"/>
  <c r="D81" i="22"/>
  <c r="B81" i="22"/>
  <c r="P3" i="24"/>
  <c r="X3" i="24"/>
  <c r="AB3" i="24" s="1"/>
  <c r="Z52" i="24"/>
  <c r="Y52" i="24"/>
  <c r="Z51" i="24"/>
  <c r="Y51" i="24"/>
  <c r="Z50" i="24"/>
  <c r="Y50" i="24"/>
  <c r="Z49" i="24"/>
  <c r="Y49" i="24"/>
  <c r="Z48" i="24"/>
  <c r="Y48" i="24"/>
  <c r="Z47" i="24"/>
  <c r="Y47" i="24"/>
  <c r="Z46" i="24"/>
  <c r="Y46" i="24"/>
  <c r="Z45" i="24"/>
  <c r="Y45" i="24"/>
  <c r="Z44" i="24"/>
  <c r="Y44" i="24"/>
  <c r="Z43" i="24"/>
  <c r="Y43" i="24"/>
  <c r="Z42" i="24"/>
  <c r="Y42" i="24"/>
  <c r="Z41" i="24"/>
  <c r="Y41" i="24"/>
  <c r="Z40" i="24"/>
  <c r="Y40" i="24"/>
  <c r="Z39" i="24"/>
  <c r="Y39" i="24"/>
  <c r="Z38" i="24"/>
  <c r="Y38" i="24"/>
  <c r="Z37" i="24"/>
  <c r="Y37" i="24"/>
  <c r="Z36" i="24"/>
  <c r="Y36" i="24"/>
  <c r="Z35" i="24"/>
  <c r="Y35" i="24"/>
  <c r="Z34" i="24"/>
  <c r="Y34" i="24"/>
  <c r="U1" i="24"/>
  <c r="R52" i="24"/>
  <c r="Q52" i="24"/>
  <c r="R51" i="24"/>
  <c r="Q51" i="24"/>
  <c r="R50" i="24"/>
  <c r="Q50" i="24"/>
  <c r="R49" i="24"/>
  <c r="Q49" i="24"/>
  <c r="R48" i="24"/>
  <c r="Q48" i="24"/>
  <c r="R47" i="24"/>
  <c r="Q47" i="24"/>
  <c r="R46" i="24"/>
  <c r="Q46" i="24"/>
  <c r="R45" i="24"/>
  <c r="Q45" i="24"/>
  <c r="R44" i="24"/>
  <c r="Q44" i="24"/>
  <c r="R43" i="24"/>
  <c r="Q43" i="24"/>
  <c r="R42" i="24"/>
  <c r="Q42" i="24"/>
  <c r="R41" i="24"/>
  <c r="Q41" i="24"/>
  <c r="R40" i="24"/>
  <c r="Q40" i="24"/>
  <c r="R39" i="24"/>
  <c r="Q39" i="24"/>
  <c r="R38" i="24"/>
  <c r="Q38" i="24"/>
  <c r="R37" i="24"/>
  <c r="Q37" i="24"/>
  <c r="R36" i="24"/>
  <c r="Q36" i="24"/>
  <c r="R35" i="24"/>
  <c r="Q35" i="24"/>
  <c r="R34" i="24"/>
  <c r="Q34" i="24"/>
  <c r="R33" i="24"/>
  <c r="Q33" i="24"/>
  <c r="R32" i="24"/>
  <c r="Q32" i="24"/>
  <c r="R31" i="24"/>
  <c r="Q31" i="24"/>
  <c r="R30" i="24"/>
  <c r="Q30" i="24"/>
  <c r="R29" i="24"/>
  <c r="Q29" i="24"/>
  <c r="R28" i="24"/>
  <c r="Q28" i="24"/>
  <c r="R27" i="24"/>
  <c r="Q27" i="24"/>
  <c r="R26" i="24"/>
  <c r="Q26" i="24"/>
  <c r="R25" i="24"/>
  <c r="Q25" i="24"/>
  <c r="R24" i="24"/>
  <c r="Q24" i="24"/>
  <c r="R23" i="24"/>
  <c r="Q23" i="24"/>
  <c r="R22" i="24"/>
  <c r="Q22" i="24"/>
  <c r="R21" i="24"/>
  <c r="Q21" i="24"/>
  <c r="R20" i="24"/>
  <c r="Q20" i="24"/>
  <c r="R19" i="24"/>
  <c r="Q19" i="24"/>
  <c r="R18" i="24"/>
  <c r="Q18" i="24"/>
  <c r="R17" i="24"/>
  <c r="Q17" i="24"/>
  <c r="R16" i="24"/>
  <c r="Q16" i="24"/>
  <c r="R15" i="24"/>
  <c r="Q15" i="24"/>
  <c r="R14" i="24"/>
  <c r="Q14" i="24"/>
  <c r="R13" i="24"/>
  <c r="Q13" i="24"/>
  <c r="R12" i="24"/>
  <c r="Q12" i="24"/>
  <c r="R11" i="24"/>
  <c r="Q11" i="24"/>
  <c r="R10" i="24"/>
  <c r="Q10" i="24"/>
  <c r="R9" i="24"/>
  <c r="Q9" i="24"/>
  <c r="R8" i="24"/>
  <c r="Q8" i="24"/>
  <c r="R7" i="24"/>
  <c r="Q7" i="24"/>
  <c r="R6" i="24"/>
  <c r="Q6" i="24"/>
  <c r="R5" i="24"/>
  <c r="Q5" i="24"/>
  <c r="R4" i="24"/>
  <c r="Q4" i="24"/>
  <c r="R3" i="24"/>
  <c r="Q3" i="24"/>
  <c r="E68" i="22"/>
  <c r="F68" i="22" s="1"/>
  <c r="E69" i="22"/>
  <c r="F69" i="22" s="1"/>
  <c r="K57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H50" i="21" s="1"/>
  <c r="E67" i="26"/>
  <c r="F67" i="26" s="1"/>
  <c r="K43" i="26"/>
  <c r="J43" i="26"/>
  <c r="I43" i="26"/>
  <c r="H43" i="26"/>
  <c r="E43" i="26"/>
  <c r="D43" i="26"/>
  <c r="C43" i="26"/>
  <c r="B43" i="26"/>
  <c r="K42" i="26"/>
  <c r="J42" i="26"/>
  <c r="I42" i="26"/>
  <c r="H42" i="26"/>
  <c r="E42" i="26"/>
  <c r="D42" i="26"/>
  <c r="C42" i="26"/>
  <c r="B42" i="26"/>
  <c r="J41" i="26"/>
  <c r="I41" i="26"/>
  <c r="H41" i="26"/>
  <c r="D41" i="26"/>
  <c r="C41" i="26"/>
  <c r="B41" i="26"/>
  <c r="K33" i="26"/>
  <c r="J33" i="26"/>
  <c r="I33" i="26"/>
  <c r="H33" i="26"/>
  <c r="E33" i="26"/>
  <c r="D33" i="26"/>
  <c r="C33" i="26"/>
  <c r="B33" i="26"/>
  <c r="K32" i="26"/>
  <c r="J32" i="26"/>
  <c r="I32" i="26"/>
  <c r="H32" i="26"/>
  <c r="E32" i="26"/>
  <c r="D32" i="26"/>
  <c r="C32" i="26"/>
  <c r="B32" i="26"/>
  <c r="J31" i="26"/>
  <c r="I31" i="26"/>
  <c r="H31" i="26"/>
  <c r="D31" i="26"/>
  <c r="C31" i="26"/>
  <c r="B31" i="26"/>
  <c r="K6" i="6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J6" i="5"/>
  <c r="J7" i="5" s="1"/>
  <c r="J8" i="5" s="1"/>
  <c r="J9" i="5" s="1"/>
  <c r="J10" i="5" s="1"/>
  <c r="J11" i="5" s="1"/>
  <c r="J12" i="5" s="1"/>
  <c r="J13" i="5" s="1"/>
  <c r="J14" i="5" s="1"/>
  <c r="J15" i="5" s="1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E67" i="22"/>
  <c r="F67" i="22" s="1"/>
  <c r="U3" i="24" l="1"/>
  <c r="V3" i="24"/>
  <c r="T3" i="24"/>
  <c r="L22" i="21"/>
  <c r="L21" i="21"/>
  <c r="L30" i="21"/>
  <c r="L14" i="21"/>
  <c r="L29" i="21"/>
  <c r="L13" i="21"/>
  <c r="L26" i="21"/>
  <c r="L18" i="21"/>
  <c r="L25" i="21"/>
  <c r="L17" i="21"/>
  <c r="L31" i="21"/>
  <c r="L27" i="21"/>
  <c r="L23" i="21"/>
  <c r="L19" i="21"/>
  <c r="L15" i="21"/>
  <c r="L28" i="21"/>
  <c r="L24" i="21"/>
  <c r="L20" i="21"/>
  <c r="L16" i="21"/>
  <c r="J38" i="21"/>
  <c r="J34" i="21"/>
  <c r="J30" i="21"/>
  <c r="J26" i="21"/>
  <c r="J22" i="21"/>
  <c r="J18" i="21"/>
  <c r="J14" i="21"/>
  <c r="J41" i="21"/>
  <c r="J37" i="21"/>
  <c r="J33" i="21"/>
  <c r="J29" i="21"/>
  <c r="J25" i="21"/>
  <c r="J21" i="21"/>
  <c r="J17" i="21"/>
  <c r="J13" i="21"/>
  <c r="J40" i="21"/>
  <c r="J36" i="21"/>
  <c r="J35" i="21"/>
  <c r="J28" i="21"/>
  <c r="J24" i="21"/>
  <c r="J20" i="21"/>
  <c r="J19" i="21"/>
  <c r="J15" i="21"/>
  <c r="J32" i="21"/>
  <c r="J16" i="21"/>
  <c r="J39" i="21"/>
  <c r="J31" i="21"/>
  <c r="J27" i="21"/>
  <c r="J23" i="21"/>
  <c r="J12" i="21"/>
  <c r="L12" i="21"/>
  <c r="H49" i="21"/>
  <c r="H48" i="21"/>
  <c r="H44" i="21"/>
  <c r="H40" i="21"/>
  <c r="H36" i="21"/>
  <c r="H32" i="21"/>
  <c r="H28" i="21"/>
  <c r="H24" i="21"/>
  <c r="H20" i="21"/>
  <c r="H16" i="21"/>
  <c r="H43" i="21"/>
  <c r="H31" i="21"/>
  <c r="H23" i="21"/>
  <c r="H15" i="21"/>
  <c r="H47" i="21"/>
  <c r="H39" i="21"/>
  <c r="H35" i="21"/>
  <c r="H27" i="21"/>
  <c r="H19" i="21"/>
  <c r="H46" i="21"/>
  <c r="H42" i="21"/>
  <c r="H38" i="21"/>
  <c r="H34" i="21"/>
  <c r="H30" i="21"/>
  <c r="H26" i="21"/>
  <c r="H22" i="21"/>
  <c r="H18" i="21"/>
  <c r="H14" i="21"/>
  <c r="H45" i="21"/>
  <c r="H37" i="21"/>
  <c r="H29" i="21"/>
  <c r="H21" i="21"/>
  <c r="H13" i="21"/>
  <c r="H41" i="21"/>
  <c r="H33" i="21"/>
  <c r="H25" i="21"/>
  <c r="H17" i="21"/>
  <c r="H12" i="21"/>
  <c r="G13" i="24"/>
  <c r="H23" i="24"/>
  <c r="F3" i="24"/>
  <c r="J3" i="24" s="1"/>
  <c r="D22" i="24"/>
  <c r="H22" i="24" s="1"/>
  <c r="D24" i="24"/>
  <c r="H24" i="24" s="1"/>
  <c r="C12" i="24"/>
  <c r="G12" i="24" s="1"/>
  <c r="C14" i="24"/>
  <c r="G14" i="24" s="1"/>
  <c r="B4" i="24"/>
  <c r="D21" i="24" l="1"/>
  <c r="H21" i="24" s="1"/>
  <c r="C11" i="24"/>
  <c r="C10" i="24" s="1"/>
  <c r="C9" i="24" s="1"/>
  <c r="C8" i="24" s="1"/>
  <c r="D25" i="24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H52" i="24" s="1"/>
  <c r="H32" i="24"/>
  <c r="H28" i="24"/>
  <c r="P4" i="24"/>
  <c r="X4" i="24"/>
  <c r="AB4" i="24" s="1"/>
  <c r="B5" i="24"/>
  <c r="H35" i="24"/>
  <c r="H31" i="24"/>
  <c r="H27" i="24"/>
  <c r="K3" i="24"/>
  <c r="L3" i="24"/>
  <c r="H34" i="24"/>
  <c r="H26" i="24"/>
  <c r="C15" i="24"/>
  <c r="D20" i="24"/>
  <c r="F4" i="24"/>
  <c r="H37" i="24"/>
  <c r="H33" i="24"/>
  <c r="H25" i="24"/>
  <c r="K43" i="22"/>
  <c r="J43" i="22"/>
  <c r="I43" i="22"/>
  <c r="H43" i="22"/>
  <c r="K42" i="22"/>
  <c r="J42" i="22"/>
  <c r="I42" i="22"/>
  <c r="H42" i="22"/>
  <c r="J41" i="22"/>
  <c r="I41" i="22"/>
  <c r="H41" i="22"/>
  <c r="E43" i="22"/>
  <c r="D43" i="22"/>
  <c r="C43" i="22"/>
  <c r="B43" i="22"/>
  <c r="E42" i="22"/>
  <c r="D42" i="22"/>
  <c r="C42" i="22"/>
  <c r="B42" i="22"/>
  <c r="D41" i="22"/>
  <c r="C41" i="22"/>
  <c r="B41" i="22"/>
  <c r="K33" i="22"/>
  <c r="J33" i="22"/>
  <c r="I33" i="22"/>
  <c r="H33" i="22"/>
  <c r="K32" i="22"/>
  <c r="J32" i="22"/>
  <c r="I32" i="22"/>
  <c r="H32" i="22"/>
  <c r="J31" i="22"/>
  <c r="I31" i="22"/>
  <c r="H31" i="22"/>
  <c r="C31" i="22"/>
  <c r="D31" i="22"/>
  <c r="C32" i="22"/>
  <c r="D32" i="22"/>
  <c r="E32" i="22"/>
  <c r="C33" i="22"/>
  <c r="D33" i="22"/>
  <c r="E33" i="22"/>
  <c r="B33" i="22"/>
  <c r="B32" i="22"/>
  <c r="B31" i="22"/>
  <c r="H36" i="24" l="1"/>
  <c r="H39" i="24"/>
  <c r="H29" i="24"/>
  <c r="H30" i="24"/>
  <c r="H40" i="24"/>
  <c r="H41" i="24"/>
  <c r="H38" i="24"/>
  <c r="H43" i="24"/>
  <c r="H48" i="24"/>
  <c r="H42" i="24"/>
  <c r="H50" i="24"/>
  <c r="C7" i="24"/>
  <c r="G8" i="24"/>
  <c r="G10" i="24"/>
  <c r="H45" i="24"/>
  <c r="H47" i="24"/>
  <c r="G9" i="24"/>
  <c r="H49" i="24"/>
  <c r="H46" i="24"/>
  <c r="G11" i="24"/>
  <c r="H51" i="24"/>
  <c r="H44" i="24"/>
  <c r="L4" i="24"/>
  <c r="J4" i="24"/>
  <c r="K4" i="24"/>
  <c r="T4" i="24"/>
  <c r="V4" i="24"/>
  <c r="U4" i="24"/>
  <c r="C16" i="24"/>
  <c r="G15" i="24"/>
  <c r="D19" i="24"/>
  <c r="H20" i="24"/>
  <c r="B6" i="24"/>
  <c r="P5" i="24"/>
  <c r="X5" i="24"/>
  <c r="AB5" i="24" s="1"/>
  <c r="F5" i="24"/>
  <c r="E13" i="21"/>
  <c r="E14" i="21" s="1"/>
  <c r="E15" i="21" s="1"/>
  <c r="E16" i="21" s="1"/>
  <c r="E17" i="21" s="1"/>
  <c r="E18" i="21" s="1"/>
  <c r="E19" i="21" s="1"/>
  <c r="E20" i="21" s="1"/>
  <c r="E21" i="21" s="1"/>
  <c r="E22" i="21" s="1"/>
  <c r="E23" i="21" s="1"/>
  <c r="E24" i="21" s="1"/>
  <c r="E25" i="21" s="1"/>
  <c r="E26" i="21" s="1"/>
  <c r="E27" i="21" s="1"/>
  <c r="E28" i="21" s="1"/>
  <c r="E29" i="21" s="1"/>
  <c r="E30" i="21" s="1"/>
  <c r="E31" i="21" s="1"/>
  <c r="F12" i="21"/>
  <c r="C6" i="24" l="1"/>
  <c r="G7" i="24"/>
  <c r="T5" i="24"/>
  <c r="V5" i="24"/>
  <c r="U5" i="24"/>
  <c r="M12" i="21"/>
  <c r="K12" i="21"/>
  <c r="B7" i="24"/>
  <c r="P6" i="24"/>
  <c r="X6" i="24"/>
  <c r="AB6" i="24" s="1"/>
  <c r="F6" i="24"/>
  <c r="L5" i="24"/>
  <c r="K5" i="24"/>
  <c r="J5" i="24"/>
  <c r="D18" i="24"/>
  <c r="H19" i="24"/>
  <c r="C17" i="24"/>
  <c r="G16" i="24"/>
  <c r="F31" i="21"/>
  <c r="E32" i="21"/>
  <c r="F13" i="21"/>
  <c r="F14" i="21"/>
  <c r="F16" i="21"/>
  <c r="F18" i="21"/>
  <c r="F20" i="21"/>
  <c r="F22" i="21"/>
  <c r="F24" i="21"/>
  <c r="F26" i="21"/>
  <c r="F28" i="21"/>
  <c r="F30" i="21"/>
  <c r="F15" i="21"/>
  <c r="F17" i="21"/>
  <c r="F19" i="21"/>
  <c r="F21" i="21"/>
  <c r="F23" i="21"/>
  <c r="F25" i="21"/>
  <c r="F27" i="21"/>
  <c r="F29" i="21"/>
  <c r="C5" i="24" l="1"/>
  <c r="G6" i="24"/>
  <c r="K25" i="21"/>
  <c r="M25" i="21"/>
  <c r="K20" i="21"/>
  <c r="M20" i="21"/>
  <c r="M27" i="21"/>
  <c r="K27" i="21"/>
  <c r="K22" i="21"/>
  <c r="M22" i="21"/>
  <c r="M23" i="21"/>
  <c r="K23" i="21"/>
  <c r="M18" i="21"/>
  <c r="K18" i="21"/>
  <c r="D17" i="24"/>
  <c r="H18" i="24"/>
  <c r="L6" i="24"/>
  <c r="J6" i="24"/>
  <c r="K6" i="24"/>
  <c r="M19" i="21"/>
  <c r="K19" i="21"/>
  <c r="K30" i="21"/>
  <c r="M30" i="21"/>
  <c r="M14" i="21"/>
  <c r="K14" i="21"/>
  <c r="M17" i="21"/>
  <c r="K17" i="21"/>
  <c r="M28" i="21"/>
  <c r="K28" i="21"/>
  <c r="M13" i="21"/>
  <c r="K13" i="21"/>
  <c r="V6" i="24"/>
  <c r="U6" i="24"/>
  <c r="T6" i="24"/>
  <c r="K21" i="21"/>
  <c r="M21" i="21"/>
  <c r="M16" i="21"/>
  <c r="K16" i="21"/>
  <c r="K15" i="21"/>
  <c r="M15" i="21"/>
  <c r="K26" i="21"/>
  <c r="M26" i="21"/>
  <c r="B8" i="24"/>
  <c r="P7" i="24"/>
  <c r="X7" i="24"/>
  <c r="AB7" i="24" s="1"/>
  <c r="F7" i="24"/>
  <c r="M29" i="21"/>
  <c r="K29" i="21"/>
  <c r="K24" i="21"/>
  <c r="M24" i="21"/>
  <c r="M31" i="21"/>
  <c r="K31" i="21"/>
  <c r="C18" i="24"/>
  <c r="G17" i="24"/>
  <c r="I26" i="21"/>
  <c r="I28" i="21"/>
  <c r="I14" i="21"/>
  <c r="I16" i="21"/>
  <c r="I31" i="21"/>
  <c r="I22" i="21"/>
  <c r="I27" i="21"/>
  <c r="I24" i="21"/>
  <c r="I29" i="21"/>
  <c r="I12" i="21"/>
  <c r="I18" i="21"/>
  <c r="I23" i="21"/>
  <c r="I20" i="21"/>
  <c r="I25" i="21"/>
  <c r="I30" i="21"/>
  <c r="I15" i="21"/>
  <c r="I19" i="21"/>
  <c r="I13" i="21"/>
  <c r="I21" i="21"/>
  <c r="F32" i="21"/>
  <c r="K32" i="21" s="1"/>
  <c r="E33" i="21"/>
  <c r="I17" i="21"/>
  <c r="C4" i="24" l="1"/>
  <c r="G5" i="24"/>
  <c r="M53" i="21"/>
  <c r="L7" i="24"/>
  <c r="J7" i="24"/>
  <c r="K7" i="24"/>
  <c r="C19" i="24"/>
  <c r="G18" i="24"/>
  <c r="V7" i="24"/>
  <c r="U7" i="24"/>
  <c r="T7" i="24"/>
  <c r="B9" i="24"/>
  <c r="P8" i="24"/>
  <c r="X8" i="24"/>
  <c r="AB8" i="24" s="1"/>
  <c r="F8" i="24"/>
  <c r="I32" i="21"/>
  <c r="D16" i="24"/>
  <c r="H17" i="24"/>
  <c r="F33" i="21"/>
  <c r="K33" i="21" s="1"/>
  <c r="E34" i="21"/>
  <c r="C3" i="24" l="1"/>
  <c r="G3" i="24" s="1"/>
  <c r="G4" i="24"/>
  <c r="C20" i="24"/>
  <c r="G19" i="24"/>
  <c r="D15" i="24"/>
  <c r="H16" i="24"/>
  <c r="V8" i="24"/>
  <c r="U8" i="24"/>
  <c r="T8" i="24"/>
  <c r="K8" i="24"/>
  <c r="J8" i="24"/>
  <c r="L8" i="24"/>
  <c r="B10" i="24"/>
  <c r="X9" i="24"/>
  <c r="AB9" i="24" s="1"/>
  <c r="P9" i="24"/>
  <c r="F9" i="24"/>
  <c r="I33" i="21"/>
  <c r="F34" i="21"/>
  <c r="E35" i="21"/>
  <c r="T55" i="10"/>
  <c r="T54" i="10" s="1"/>
  <c r="O22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O30" i="10" s="1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O29" i="10" s="1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O38" i="10" s="1"/>
  <c r="I266" i="10"/>
  <c r="I267" i="10"/>
  <c r="I268" i="10"/>
  <c r="O17" i="10" s="1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O21" i="10" s="1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O4" i="10" s="1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O32" i="10" s="1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O20" i="10" s="1"/>
  <c r="I556" i="10"/>
  <c r="I557" i="10"/>
  <c r="I558" i="10"/>
  <c r="I559" i="10"/>
  <c r="I560" i="10"/>
  <c r="I561" i="10"/>
  <c r="O9" i="10" s="1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O5" i="10" s="1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O11" i="10" s="1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O44" i="10" s="1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O24" i="10" s="1"/>
  <c r="I808" i="10"/>
  <c r="I809" i="10"/>
  <c r="I810" i="10"/>
  <c r="I811" i="10"/>
  <c r="I812" i="10"/>
  <c r="I813" i="10"/>
  <c r="I814" i="10"/>
  <c r="I815" i="10"/>
  <c r="O41" i="10" s="1"/>
  <c r="I816" i="10"/>
  <c r="O16" i="10" s="1"/>
  <c r="I817" i="10"/>
  <c r="I818" i="10"/>
  <c r="I819" i="10"/>
  <c r="I820" i="10"/>
  <c r="I821" i="10"/>
  <c r="I822" i="10"/>
  <c r="I823" i="10"/>
  <c r="I15" i="10"/>
  <c r="O7" i="10" s="1"/>
  <c r="I14" i="10"/>
  <c r="O40" i="10" l="1"/>
  <c r="O13" i="10"/>
  <c r="O45" i="10"/>
  <c r="K9" i="24"/>
  <c r="J9" i="24"/>
  <c r="L9" i="24"/>
  <c r="V9" i="24"/>
  <c r="U9" i="24"/>
  <c r="T9" i="24"/>
  <c r="O18" i="10"/>
  <c r="O31" i="10"/>
  <c r="O6" i="10"/>
  <c r="O49" i="10"/>
  <c r="O39" i="10"/>
  <c r="O47" i="10"/>
  <c r="O14" i="10"/>
  <c r="O33" i="10"/>
  <c r="B11" i="24"/>
  <c r="X10" i="24"/>
  <c r="AB10" i="24" s="1"/>
  <c r="P10" i="24"/>
  <c r="F10" i="24"/>
  <c r="D14" i="24"/>
  <c r="H15" i="24"/>
  <c r="O10" i="10"/>
  <c r="O28" i="10"/>
  <c r="O43" i="10"/>
  <c r="I34" i="21"/>
  <c r="K34" i="21"/>
  <c r="C21" i="24"/>
  <c r="G20" i="24"/>
  <c r="F35" i="21"/>
  <c r="E36" i="21"/>
  <c r="O19" i="10"/>
  <c r="O48" i="10"/>
  <c r="O8" i="10"/>
  <c r="O50" i="10"/>
  <c r="O36" i="10"/>
  <c r="O3" i="10"/>
  <c r="O25" i="10"/>
  <c r="O2" i="10"/>
  <c r="O26" i="10"/>
  <c r="O35" i="10"/>
  <c r="O37" i="10"/>
  <c r="O27" i="10"/>
  <c r="O51" i="10"/>
  <c r="O15" i="10"/>
  <c r="O42" i="10"/>
  <c r="O34" i="10"/>
  <c r="O12" i="10"/>
  <c r="O23" i="10"/>
  <c r="O46" i="10"/>
  <c r="T56" i="10"/>
  <c r="T57" i="10" s="1"/>
  <c r="T58" i="10" s="1"/>
  <c r="J10" i="24" l="1"/>
  <c r="K10" i="24"/>
  <c r="L10" i="24"/>
  <c r="V10" i="24"/>
  <c r="U10" i="24"/>
  <c r="T10" i="24"/>
  <c r="B12" i="24"/>
  <c r="P11" i="24"/>
  <c r="X11" i="24"/>
  <c r="AB11" i="24" s="1"/>
  <c r="F11" i="24"/>
  <c r="C22" i="24"/>
  <c r="G21" i="24"/>
  <c r="I35" i="21"/>
  <c r="K35" i="21"/>
  <c r="D13" i="24"/>
  <c r="H14" i="24"/>
  <c r="F36" i="21"/>
  <c r="E37" i="21"/>
  <c r="K11" i="24" l="1"/>
  <c r="J11" i="24"/>
  <c r="L11" i="24"/>
  <c r="T11" i="24"/>
  <c r="V11" i="24"/>
  <c r="U11" i="24"/>
  <c r="C23" i="24"/>
  <c r="G22" i="24"/>
  <c r="D12" i="24"/>
  <c r="H13" i="24"/>
  <c r="B13" i="24"/>
  <c r="P12" i="24"/>
  <c r="X12" i="24"/>
  <c r="AB12" i="24" s="1"/>
  <c r="F12" i="24"/>
  <c r="I36" i="21"/>
  <c r="K36" i="21"/>
  <c r="E38" i="21"/>
  <c r="F37" i="21"/>
  <c r="B14" i="24" l="1"/>
  <c r="P13" i="24"/>
  <c r="X13" i="24"/>
  <c r="AB13" i="24" s="1"/>
  <c r="F13" i="24"/>
  <c r="T12" i="24"/>
  <c r="V12" i="24"/>
  <c r="U12" i="24"/>
  <c r="I37" i="21"/>
  <c r="K37" i="21"/>
  <c r="L12" i="24"/>
  <c r="J12" i="24"/>
  <c r="K12" i="24"/>
  <c r="C24" i="24"/>
  <c r="G23" i="24"/>
  <c r="D11" i="24"/>
  <c r="H12" i="24"/>
  <c r="F38" i="21"/>
  <c r="E39" i="21"/>
  <c r="C25" i="24" l="1"/>
  <c r="G24" i="24"/>
  <c r="K13" i="24"/>
  <c r="L13" i="24"/>
  <c r="J13" i="24"/>
  <c r="I38" i="21"/>
  <c r="K38" i="21"/>
  <c r="T13" i="24"/>
  <c r="V13" i="24"/>
  <c r="U13" i="24"/>
  <c r="D10" i="24"/>
  <c r="H11" i="24"/>
  <c r="B15" i="24"/>
  <c r="P14" i="24"/>
  <c r="X14" i="24"/>
  <c r="AB14" i="24" s="1"/>
  <c r="F14" i="24"/>
  <c r="E40" i="21"/>
  <c r="F39" i="21"/>
  <c r="V14" i="24" l="1"/>
  <c r="U14" i="24"/>
  <c r="T14" i="24"/>
  <c r="D9" i="24"/>
  <c r="H10" i="24"/>
  <c r="I39" i="21"/>
  <c r="K39" i="21"/>
  <c r="J14" i="24"/>
  <c r="L14" i="24"/>
  <c r="K14" i="24"/>
  <c r="B16" i="24"/>
  <c r="P15" i="24"/>
  <c r="X15" i="24"/>
  <c r="AB15" i="24" s="1"/>
  <c r="F15" i="24"/>
  <c r="C26" i="24"/>
  <c r="G25" i="24"/>
  <c r="F40" i="21"/>
  <c r="E41" i="21"/>
  <c r="V15" i="24" l="1"/>
  <c r="U15" i="24"/>
  <c r="T15" i="24"/>
  <c r="D8" i="24"/>
  <c r="H9" i="24"/>
  <c r="C27" i="24"/>
  <c r="G26" i="24"/>
  <c r="J15" i="24"/>
  <c r="K15" i="24"/>
  <c r="L15" i="24"/>
  <c r="B17" i="24"/>
  <c r="P16" i="24"/>
  <c r="X16" i="24"/>
  <c r="AB16" i="24" s="1"/>
  <c r="F16" i="24"/>
  <c r="I40" i="21"/>
  <c r="K40" i="21"/>
  <c r="F41" i="21"/>
  <c r="E42" i="21"/>
  <c r="N32" i="10"/>
  <c r="M33" i="10"/>
  <c r="M34" i="10" s="1"/>
  <c r="M31" i="10"/>
  <c r="N31" i="10" s="1"/>
  <c r="K16" i="24" l="1"/>
  <c r="L16" i="24"/>
  <c r="J16" i="24"/>
  <c r="V16" i="24"/>
  <c r="U16" i="24"/>
  <c r="T16" i="24"/>
  <c r="D7" i="24"/>
  <c r="H8" i="24"/>
  <c r="B18" i="24"/>
  <c r="X17" i="24"/>
  <c r="AB17" i="24" s="1"/>
  <c r="P17" i="24"/>
  <c r="F17" i="24"/>
  <c r="C28" i="24"/>
  <c r="G27" i="24"/>
  <c r="I41" i="21"/>
  <c r="K41" i="21"/>
  <c r="F42" i="21"/>
  <c r="I42" i="21" s="1"/>
  <c r="E43" i="21"/>
  <c r="M30" i="10"/>
  <c r="M29" i="10" s="1"/>
  <c r="M35" i="10"/>
  <c r="N34" i="10"/>
  <c r="M28" i="10"/>
  <c r="N29" i="10"/>
  <c r="N33" i="10"/>
  <c r="P51" i="10"/>
  <c r="P48" i="10"/>
  <c r="P46" i="10"/>
  <c r="P40" i="10"/>
  <c r="P36" i="10"/>
  <c r="P32" i="10"/>
  <c r="Q32" i="10" s="1"/>
  <c r="P30" i="10"/>
  <c r="P24" i="10"/>
  <c r="P20" i="10"/>
  <c r="P16" i="10"/>
  <c r="P12" i="10"/>
  <c r="P8" i="10"/>
  <c r="P4" i="10"/>
  <c r="P49" i="10"/>
  <c r="P43" i="10"/>
  <c r="P41" i="10"/>
  <c r="P37" i="10"/>
  <c r="P33" i="10"/>
  <c r="P28" i="10"/>
  <c r="P25" i="10"/>
  <c r="P21" i="10"/>
  <c r="P17" i="10"/>
  <c r="P13" i="10"/>
  <c r="P9" i="10"/>
  <c r="P5" i="10"/>
  <c r="P44" i="10"/>
  <c r="P47" i="10"/>
  <c r="P35" i="10"/>
  <c r="P27" i="10"/>
  <c r="P19" i="10"/>
  <c r="P11" i="10"/>
  <c r="P7" i="10"/>
  <c r="P50" i="10"/>
  <c r="P42" i="10"/>
  <c r="P38" i="10"/>
  <c r="P34" i="10"/>
  <c r="P26" i="10"/>
  <c r="P22" i="10"/>
  <c r="P18" i="10"/>
  <c r="P14" i="10"/>
  <c r="P10" i="10"/>
  <c r="P6" i="10"/>
  <c r="P2" i="10"/>
  <c r="P39" i="10"/>
  <c r="P31" i="10"/>
  <c r="Q31" i="10" s="1"/>
  <c r="P23" i="10"/>
  <c r="P15" i="10"/>
  <c r="P3" i="10"/>
  <c r="P45" i="10"/>
  <c r="P29" i="10"/>
  <c r="C29" i="24" l="1"/>
  <c r="G28" i="24"/>
  <c r="J17" i="24"/>
  <c r="L17" i="24"/>
  <c r="K17" i="24"/>
  <c r="Q34" i="10"/>
  <c r="V17" i="24"/>
  <c r="U17" i="24"/>
  <c r="T17" i="24"/>
  <c r="D6" i="24"/>
  <c r="H7" i="24"/>
  <c r="Q29" i="10"/>
  <c r="N30" i="10"/>
  <c r="Q30" i="10" s="1"/>
  <c r="B19" i="24"/>
  <c r="X18" i="24"/>
  <c r="AB18" i="24" s="1"/>
  <c r="P18" i="24"/>
  <c r="F18" i="24"/>
  <c r="F43" i="21"/>
  <c r="I43" i="21" s="1"/>
  <c r="E44" i="21"/>
  <c r="Q33" i="10"/>
  <c r="M27" i="10"/>
  <c r="N28" i="10"/>
  <c r="Q28" i="10" s="1"/>
  <c r="M36" i="10"/>
  <c r="N35" i="10"/>
  <c r="Q35" i="10" s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3" i="10"/>
  <c r="B20" i="24" l="1"/>
  <c r="P19" i="24"/>
  <c r="X19" i="24"/>
  <c r="AB19" i="24" s="1"/>
  <c r="F19" i="24"/>
  <c r="V18" i="24"/>
  <c r="U18" i="24"/>
  <c r="T18" i="24"/>
  <c r="D5" i="24"/>
  <c r="H6" i="24"/>
  <c r="J823" i="10"/>
  <c r="J799" i="10"/>
  <c r="J775" i="10"/>
  <c r="J767" i="10"/>
  <c r="J751" i="10"/>
  <c r="J743" i="10"/>
  <c r="J719" i="10"/>
  <c r="J695" i="10"/>
  <c r="J671" i="10"/>
  <c r="J655" i="10"/>
  <c r="J631" i="10"/>
  <c r="J623" i="10"/>
  <c r="J615" i="10"/>
  <c r="J591" i="10"/>
  <c r="J583" i="10"/>
  <c r="J567" i="10"/>
  <c r="J551" i="10"/>
  <c r="J527" i="10"/>
  <c r="J511" i="10"/>
  <c r="J503" i="10"/>
  <c r="J487" i="10"/>
  <c r="J479" i="10"/>
  <c r="J18" i="24"/>
  <c r="L18" i="24"/>
  <c r="K18" i="24"/>
  <c r="C30" i="24"/>
  <c r="G29" i="24"/>
  <c r="F44" i="21"/>
  <c r="I44" i="21" s="1"/>
  <c r="E45" i="21"/>
  <c r="J727" i="10"/>
  <c r="J599" i="10"/>
  <c r="J807" i="10"/>
  <c r="J679" i="10"/>
  <c r="J647" i="10"/>
  <c r="J14" i="10"/>
  <c r="J703" i="10"/>
  <c r="J663" i="10"/>
  <c r="J815" i="10"/>
  <c r="J791" i="10"/>
  <c r="J735" i="10"/>
  <c r="J783" i="10"/>
  <c r="J759" i="10"/>
  <c r="J711" i="10"/>
  <c r="J687" i="10"/>
  <c r="J822" i="10"/>
  <c r="J790" i="10"/>
  <c r="J821" i="10"/>
  <c r="J781" i="10"/>
  <c r="J757" i="10"/>
  <c r="J717" i="10"/>
  <c r="J685" i="10"/>
  <c r="J645" i="10"/>
  <c r="J613" i="10"/>
  <c r="J557" i="10"/>
  <c r="J812" i="10"/>
  <c r="J804" i="10"/>
  <c r="J796" i="10"/>
  <c r="J788" i="10"/>
  <c r="J780" i="10"/>
  <c r="J772" i="10"/>
  <c r="J764" i="10"/>
  <c r="J756" i="10"/>
  <c r="J748" i="10"/>
  <c r="J740" i="10"/>
  <c r="J732" i="10"/>
  <c r="J724" i="10"/>
  <c r="J716" i="10"/>
  <c r="J708" i="10"/>
  <c r="J700" i="10"/>
  <c r="J692" i="10"/>
  <c r="J684" i="10"/>
  <c r="J676" i="10"/>
  <c r="J668" i="10"/>
  <c r="J660" i="10"/>
  <c r="J652" i="10"/>
  <c r="J819" i="10"/>
  <c r="J811" i="10"/>
  <c r="J803" i="10"/>
  <c r="J795" i="10"/>
  <c r="J787" i="10"/>
  <c r="J779" i="10"/>
  <c r="J771" i="10"/>
  <c r="J763" i="10"/>
  <c r="J755" i="10"/>
  <c r="J747" i="10"/>
  <c r="J739" i="10"/>
  <c r="J731" i="10"/>
  <c r="J723" i="10"/>
  <c r="J715" i="10"/>
  <c r="J707" i="10"/>
  <c r="J699" i="10"/>
  <c r="J691" i="10"/>
  <c r="J683" i="10"/>
  <c r="J675" i="10"/>
  <c r="J667" i="10"/>
  <c r="J659" i="10"/>
  <c r="J651" i="10"/>
  <c r="J643" i="10"/>
  <c r="J635" i="10"/>
  <c r="J627" i="10"/>
  <c r="J619" i="10"/>
  <c r="J611" i="10"/>
  <c r="J603" i="10"/>
  <c r="J595" i="10"/>
  <c r="J587" i="10"/>
  <c r="J579" i="10"/>
  <c r="J571" i="10"/>
  <c r="J563" i="10"/>
  <c r="J555" i="10"/>
  <c r="J547" i="10"/>
  <c r="J539" i="10"/>
  <c r="J531" i="10"/>
  <c r="J523" i="10"/>
  <c r="J515" i="10"/>
  <c r="J507" i="10"/>
  <c r="J499" i="10"/>
  <c r="J491" i="10"/>
  <c r="J483" i="10"/>
  <c r="J475" i="10"/>
  <c r="J467" i="10"/>
  <c r="J459" i="10"/>
  <c r="J451" i="10"/>
  <c r="J443" i="10"/>
  <c r="J435" i="10"/>
  <c r="J427" i="10"/>
  <c r="J419" i="10"/>
  <c r="J411" i="10"/>
  <c r="J814" i="10"/>
  <c r="J797" i="10"/>
  <c r="J741" i="10"/>
  <c r="J661" i="10"/>
  <c r="J541" i="10"/>
  <c r="J802" i="10"/>
  <c r="J762" i="10"/>
  <c r="J738" i="10"/>
  <c r="J706" i="10"/>
  <c r="J682" i="10"/>
  <c r="J674" i="10"/>
  <c r="J666" i="10"/>
  <c r="J642" i="10"/>
  <c r="J634" i="10"/>
  <c r="J626" i="10"/>
  <c r="J618" i="10"/>
  <c r="J610" i="10"/>
  <c r="J602" i="10"/>
  <c r="J594" i="10"/>
  <c r="J586" i="10"/>
  <c r="J578" i="10"/>
  <c r="J570" i="10"/>
  <c r="J562" i="10"/>
  <c r="J554" i="10"/>
  <c r="J546" i="10"/>
  <c r="J538" i="10"/>
  <c r="J530" i="10"/>
  <c r="J522" i="10"/>
  <c r="J514" i="10"/>
  <c r="J506" i="10"/>
  <c r="J498" i="10"/>
  <c r="J490" i="10"/>
  <c r="J482" i="10"/>
  <c r="J474" i="10"/>
  <c r="J466" i="10"/>
  <c r="J458" i="10"/>
  <c r="J450" i="10"/>
  <c r="J442" i="10"/>
  <c r="J434" i="10"/>
  <c r="J426" i="10"/>
  <c r="J418" i="10"/>
  <c r="J410" i="10"/>
  <c r="J402" i="10"/>
  <c r="J394" i="10"/>
  <c r="J386" i="10"/>
  <c r="J378" i="10"/>
  <c r="J370" i="10"/>
  <c r="J362" i="10"/>
  <c r="J354" i="10"/>
  <c r="J346" i="10"/>
  <c r="J338" i="10"/>
  <c r="J330" i="10"/>
  <c r="J322" i="10"/>
  <c r="J314" i="10"/>
  <c r="J306" i="10"/>
  <c r="J298" i="10"/>
  <c r="J290" i="10"/>
  <c r="J282" i="10"/>
  <c r="J274" i="10"/>
  <c r="J266" i="10"/>
  <c r="J258" i="10"/>
  <c r="J250" i="10"/>
  <c r="J242" i="10"/>
  <c r="J234" i="10"/>
  <c r="J226" i="10"/>
  <c r="J218" i="10"/>
  <c r="J210" i="10"/>
  <c r="J202" i="10"/>
  <c r="J194" i="10"/>
  <c r="J186" i="10"/>
  <c r="J178" i="10"/>
  <c r="J798" i="10"/>
  <c r="J805" i="10"/>
  <c r="J765" i="10"/>
  <c r="J725" i="10"/>
  <c r="J693" i="10"/>
  <c r="J653" i="10"/>
  <c r="J621" i="10"/>
  <c r="J565" i="10"/>
  <c r="J818" i="10"/>
  <c r="J786" i="10"/>
  <c r="J770" i="10"/>
  <c r="J746" i="10"/>
  <c r="J722" i="10"/>
  <c r="J698" i="10"/>
  <c r="J658" i="10"/>
  <c r="J817" i="10"/>
  <c r="J801" i="10"/>
  <c r="J785" i="10"/>
  <c r="J769" i="10"/>
  <c r="J753" i="10"/>
  <c r="J737" i="10"/>
  <c r="J729" i="10"/>
  <c r="J721" i="10"/>
  <c r="J713" i="10"/>
  <c r="J705" i="10"/>
  <c r="J697" i="10"/>
  <c r="J689" i="10"/>
  <c r="J681" i="10"/>
  <c r="J673" i="10"/>
  <c r="J665" i="10"/>
  <c r="J657" i="10"/>
  <c r="J649" i="10"/>
  <c r="J639" i="10"/>
  <c r="J607" i="10"/>
  <c r="J519" i="10"/>
  <c r="J766" i="10"/>
  <c r="J789" i="10"/>
  <c r="J749" i="10"/>
  <c r="J709" i="10"/>
  <c r="J677" i="10"/>
  <c r="J637" i="10"/>
  <c r="J605" i="10"/>
  <c r="J573" i="10"/>
  <c r="J820" i="10"/>
  <c r="J810" i="10"/>
  <c r="J794" i="10"/>
  <c r="J778" i="10"/>
  <c r="J754" i="10"/>
  <c r="J730" i="10"/>
  <c r="J714" i="10"/>
  <c r="J690" i="10"/>
  <c r="J650" i="10"/>
  <c r="J809" i="10"/>
  <c r="J793" i="10"/>
  <c r="J777" i="10"/>
  <c r="J761" i="10"/>
  <c r="J745" i="10"/>
  <c r="J816" i="10"/>
  <c r="J808" i="10"/>
  <c r="J800" i="10"/>
  <c r="J792" i="10"/>
  <c r="J784" i="10"/>
  <c r="J776" i="10"/>
  <c r="J768" i="10"/>
  <c r="J760" i="10"/>
  <c r="J752" i="10"/>
  <c r="J744" i="10"/>
  <c r="J736" i="10"/>
  <c r="J728" i="10"/>
  <c r="J720" i="10"/>
  <c r="J712" i="10"/>
  <c r="J704" i="10"/>
  <c r="J696" i="10"/>
  <c r="J688" i="10"/>
  <c r="J680" i="10"/>
  <c r="J672" i="10"/>
  <c r="J664" i="10"/>
  <c r="J656" i="10"/>
  <c r="J648" i="10"/>
  <c r="J640" i="10"/>
  <c r="J632" i="10"/>
  <c r="J624" i="10"/>
  <c r="J616" i="10"/>
  <c r="J608" i="10"/>
  <c r="J600" i="10"/>
  <c r="J592" i="10"/>
  <c r="J584" i="10"/>
  <c r="J576" i="10"/>
  <c r="J568" i="10"/>
  <c r="J560" i="10"/>
  <c r="J552" i="10"/>
  <c r="J544" i="10"/>
  <c r="J536" i="10"/>
  <c r="J528" i="10"/>
  <c r="J520" i="10"/>
  <c r="J512" i="10"/>
  <c r="J504" i="10"/>
  <c r="J496" i="10"/>
  <c r="J488" i="10"/>
  <c r="J480" i="10"/>
  <c r="J472" i="10"/>
  <c r="J464" i="10"/>
  <c r="J456" i="10"/>
  <c r="J448" i="10"/>
  <c r="J440" i="10"/>
  <c r="J432" i="10"/>
  <c r="J424" i="10"/>
  <c r="J416" i="10"/>
  <c r="J408" i="10"/>
  <c r="J400" i="10"/>
  <c r="J392" i="10"/>
  <c r="J384" i="10"/>
  <c r="J376" i="10"/>
  <c r="J368" i="10"/>
  <c r="J360" i="10"/>
  <c r="J352" i="10"/>
  <c r="J344" i="10"/>
  <c r="J336" i="10"/>
  <c r="J328" i="10"/>
  <c r="J320" i="10"/>
  <c r="J312" i="10"/>
  <c r="J304" i="10"/>
  <c r="J296" i="10"/>
  <c r="J288" i="10"/>
  <c r="J280" i="10"/>
  <c r="J272" i="10"/>
  <c r="J264" i="10"/>
  <c r="J256" i="10"/>
  <c r="J248" i="10"/>
  <c r="J240" i="10"/>
  <c r="J232" i="10"/>
  <c r="J224" i="10"/>
  <c r="J216" i="10"/>
  <c r="J208" i="10"/>
  <c r="J200" i="10"/>
  <c r="J192" i="10"/>
  <c r="J184" i="10"/>
  <c r="J176" i="10"/>
  <c r="J168" i="10"/>
  <c r="J160" i="10"/>
  <c r="J152" i="10"/>
  <c r="J144" i="10"/>
  <c r="J136" i="10"/>
  <c r="J575" i="10"/>
  <c r="J559" i="10"/>
  <c r="J543" i="10"/>
  <c r="J535" i="10"/>
  <c r="J495" i="10"/>
  <c r="J471" i="10"/>
  <c r="J463" i="10"/>
  <c r="J455" i="10"/>
  <c r="J447" i="10"/>
  <c r="J439" i="10"/>
  <c r="J431" i="10"/>
  <c r="J423" i="10"/>
  <c r="J415" i="10"/>
  <c r="J407" i="10"/>
  <c r="J399" i="10"/>
  <c r="J391" i="10"/>
  <c r="J383" i="10"/>
  <c r="J375" i="10"/>
  <c r="J367" i="10"/>
  <c r="J359" i="10"/>
  <c r="J351" i="10"/>
  <c r="J343" i="10"/>
  <c r="J335" i="10"/>
  <c r="J327" i="10"/>
  <c r="J319" i="10"/>
  <c r="J311" i="10"/>
  <c r="J303" i="10"/>
  <c r="J295" i="10"/>
  <c r="J287" i="10"/>
  <c r="J279" i="10"/>
  <c r="J271" i="10"/>
  <c r="J263" i="10"/>
  <c r="J255" i="10"/>
  <c r="J247" i="10"/>
  <c r="J239" i="10"/>
  <c r="J231" i="10"/>
  <c r="J223" i="10"/>
  <c r="J215" i="10"/>
  <c r="J207" i="10"/>
  <c r="J199" i="10"/>
  <c r="J191" i="10"/>
  <c r="J183" i="10"/>
  <c r="J175" i="10"/>
  <c r="J167" i="10"/>
  <c r="J159" i="10"/>
  <c r="J151" i="10"/>
  <c r="J143" i="10"/>
  <c r="J135" i="10"/>
  <c r="J806" i="10"/>
  <c r="J774" i="10"/>
  <c r="J758" i="10"/>
  <c r="J750" i="10"/>
  <c r="J742" i="10"/>
  <c r="J734" i="10"/>
  <c r="J726" i="10"/>
  <c r="J718" i="10"/>
  <c r="J710" i="10"/>
  <c r="J702" i="10"/>
  <c r="J694" i="10"/>
  <c r="J686" i="10"/>
  <c r="J678" i="10"/>
  <c r="J670" i="10"/>
  <c r="J662" i="10"/>
  <c r="J654" i="10"/>
  <c r="J646" i="10"/>
  <c r="J638" i="10"/>
  <c r="J630" i="10"/>
  <c r="J622" i="10"/>
  <c r="J614" i="10"/>
  <c r="J606" i="10"/>
  <c r="J598" i="10"/>
  <c r="J590" i="10"/>
  <c r="J582" i="10"/>
  <c r="J574" i="10"/>
  <c r="J566" i="10"/>
  <c r="J558" i="10"/>
  <c r="J550" i="10"/>
  <c r="J542" i="10"/>
  <c r="J534" i="10"/>
  <c r="J526" i="10"/>
  <c r="J518" i="10"/>
  <c r="J510" i="10"/>
  <c r="J502" i="10"/>
  <c r="J494" i="10"/>
  <c r="J486" i="10"/>
  <c r="J478" i="10"/>
  <c r="J470" i="10"/>
  <c r="J462" i="10"/>
  <c r="J454" i="10"/>
  <c r="J446" i="10"/>
  <c r="J438" i="10"/>
  <c r="J430" i="10"/>
  <c r="J422" i="10"/>
  <c r="J414" i="10"/>
  <c r="J406" i="10"/>
  <c r="J398" i="10"/>
  <c r="J390" i="10"/>
  <c r="J782" i="10"/>
  <c r="J813" i="10"/>
  <c r="J773" i="10"/>
  <c r="J733" i="10"/>
  <c r="J701" i="10"/>
  <c r="J669" i="10"/>
  <c r="J629" i="10"/>
  <c r="J597" i="10"/>
  <c r="J589" i="10"/>
  <c r="J581" i="10"/>
  <c r="J549" i="10"/>
  <c r="J533" i="10"/>
  <c r="J525" i="10"/>
  <c r="J517" i="10"/>
  <c r="J509" i="10"/>
  <c r="J501" i="10"/>
  <c r="J493" i="10"/>
  <c r="J485" i="10"/>
  <c r="J477" i="10"/>
  <c r="J469" i="10"/>
  <c r="J461" i="10"/>
  <c r="J453" i="10"/>
  <c r="J445" i="10"/>
  <c r="J437" i="10"/>
  <c r="J429" i="10"/>
  <c r="J421" i="10"/>
  <c r="J413" i="10"/>
  <c r="J405" i="10"/>
  <c r="J397" i="10"/>
  <c r="J389" i="10"/>
  <c r="J381" i="10"/>
  <c r="J373" i="10"/>
  <c r="J365" i="10"/>
  <c r="J357" i="10"/>
  <c r="J349" i="10"/>
  <c r="J341" i="10"/>
  <c r="J333" i="10"/>
  <c r="J325" i="10"/>
  <c r="J317" i="10"/>
  <c r="J309" i="10"/>
  <c r="J301" i="10"/>
  <c r="J293" i="10"/>
  <c r="J285" i="10"/>
  <c r="J277" i="10"/>
  <c r="J269" i="10"/>
  <c r="J261" i="10"/>
  <c r="J253" i="10"/>
  <c r="J245" i="10"/>
  <c r="J237" i="10"/>
  <c r="J229" i="10"/>
  <c r="J221" i="10"/>
  <c r="J213" i="10"/>
  <c r="J205" i="10"/>
  <c r="J197" i="10"/>
  <c r="J189" i="10"/>
  <c r="J181" i="10"/>
  <c r="J173" i="10"/>
  <c r="J165" i="10"/>
  <c r="J157" i="10"/>
  <c r="J149" i="10"/>
  <c r="J141" i="10"/>
  <c r="J133" i="10"/>
  <c r="J125" i="10"/>
  <c r="J117" i="10"/>
  <c r="J109" i="10"/>
  <c r="J101" i="10"/>
  <c r="J93" i="10"/>
  <c r="J85" i="10"/>
  <c r="J77" i="10"/>
  <c r="J69" i="10"/>
  <c r="J61" i="10"/>
  <c r="J53" i="10"/>
  <c r="J45" i="10"/>
  <c r="J37" i="10"/>
  <c r="J29" i="10"/>
  <c r="J21" i="10"/>
  <c r="J644" i="10"/>
  <c r="J636" i="10"/>
  <c r="J628" i="10"/>
  <c r="J620" i="10"/>
  <c r="J612" i="10"/>
  <c r="J604" i="10"/>
  <c r="J596" i="10"/>
  <c r="J588" i="10"/>
  <c r="J580" i="10"/>
  <c r="J572" i="10"/>
  <c r="J564" i="10"/>
  <c r="J556" i="10"/>
  <c r="J548" i="10"/>
  <c r="J540" i="10"/>
  <c r="J532" i="10"/>
  <c r="J524" i="10"/>
  <c r="J516" i="10"/>
  <c r="J508" i="10"/>
  <c r="J500" i="10"/>
  <c r="J492" i="10"/>
  <c r="J484" i="10"/>
  <c r="J476" i="10"/>
  <c r="J468" i="10"/>
  <c r="J460" i="10"/>
  <c r="J452" i="10"/>
  <c r="J444" i="10"/>
  <c r="J436" i="10"/>
  <c r="J428" i="10"/>
  <c r="J420" i="10"/>
  <c r="J412" i="10"/>
  <c r="J404" i="10"/>
  <c r="J396" i="10"/>
  <c r="J388" i="10"/>
  <c r="J380" i="10"/>
  <c r="J372" i="10"/>
  <c r="J364" i="10"/>
  <c r="J356" i="10"/>
  <c r="J348" i="10"/>
  <c r="J340" i="10"/>
  <c r="J332" i="10"/>
  <c r="J324" i="10"/>
  <c r="J316" i="10"/>
  <c r="J308" i="10"/>
  <c r="J300" i="10"/>
  <c r="J292" i="10"/>
  <c r="J284" i="10"/>
  <c r="J276" i="10"/>
  <c r="J268" i="10"/>
  <c r="J260" i="10"/>
  <c r="J252" i="10"/>
  <c r="J244" i="10"/>
  <c r="J236" i="10"/>
  <c r="J228" i="10"/>
  <c r="J220" i="10"/>
  <c r="J212" i="10"/>
  <c r="J204" i="10"/>
  <c r="J196" i="10"/>
  <c r="J188" i="10"/>
  <c r="J180" i="10"/>
  <c r="J172" i="10"/>
  <c r="J164" i="10"/>
  <c r="J156" i="10"/>
  <c r="J148" i="10"/>
  <c r="J140" i="10"/>
  <c r="J132" i="10"/>
  <c r="J124" i="10"/>
  <c r="J116" i="10"/>
  <c r="J108" i="10"/>
  <c r="J100" i="10"/>
  <c r="J92" i="10"/>
  <c r="J84" i="10"/>
  <c r="J76" i="10"/>
  <c r="J68" i="10"/>
  <c r="J60" i="10"/>
  <c r="J52" i="10"/>
  <c r="J44" i="10"/>
  <c r="J36" i="10"/>
  <c r="J28" i="10"/>
  <c r="J20" i="10"/>
  <c r="J403" i="10"/>
  <c r="J395" i="10"/>
  <c r="J387" i="10"/>
  <c r="J379" i="10"/>
  <c r="J371" i="10"/>
  <c r="J363" i="10"/>
  <c r="J355" i="10"/>
  <c r="J347" i="10"/>
  <c r="J339" i="10"/>
  <c r="J331" i="10"/>
  <c r="J323" i="10"/>
  <c r="J315" i="10"/>
  <c r="J307" i="10"/>
  <c r="J299" i="10"/>
  <c r="J291" i="10"/>
  <c r="J283" i="10"/>
  <c r="J275" i="10"/>
  <c r="J267" i="10"/>
  <c r="J259" i="10"/>
  <c r="J251" i="10"/>
  <c r="J243" i="10"/>
  <c r="J235" i="10"/>
  <c r="J227" i="10"/>
  <c r="J219" i="10"/>
  <c r="J211" i="10"/>
  <c r="J203" i="10"/>
  <c r="J195" i="10"/>
  <c r="J187" i="10"/>
  <c r="J179" i="10"/>
  <c r="J171" i="10"/>
  <c r="J163" i="10"/>
  <c r="J155" i="10"/>
  <c r="J147" i="10"/>
  <c r="J139" i="10"/>
  <c r="J131" i="10"/>
  <c r="J123" i="10"/>
  <c r="J115" i="10"/>
  <c r="J107" i="10"/>
  <c r="J99" i="10"/>
  <c r="J91" i="10"/>
  <c r="J83" i="10"/>
  <c r="J75" i="10"/>
  <c r="J67" i="10"/>
  <c r="J59" i="10"/>
  <c r="J51" i="10"/>
  <c r="J43" i="10"/>
  <c r="J35" i="10"/>
  <c r="J27" i="10"/>
  <c r="J19" i="10"/>
  <c r="J170" i="10"/>
  <c r="J162" i="10"/>
  <c r="J154" i="10"/>
  <c r="J146" i="10"/>
  <c r="J138" i="10"/>
  <c r="J130" i="10"/>
  <c r="J122" i="10"/>
  <c r="J114" i="10"/>
  <c r="J106" i="10"/>
  <c r="J98" i="10"/>
  <c r="J90" i="10"/>
  <c r="J82" i="10"/>
  <c r="J74" i="10"/>
  <c r="J66" i="10"/>
  <c r="J58" i="10"/>
  <c r="J50" i="10"/>
  <c r="J42" i="10"/>
  <c r="J34" i="10"/>
  <c r="J26" i="10"/>
  <c r="J18" i="10"/>
  <c r="J641" i="10"/>
  <c r="J633" i="10"/>
  <c r="J625" i="10"/>
  <c r="J617" i="10"/>
  <c r="J609" i="10"/>
  <c r="J601" i="10"/>
  <c r="J593" i="10"/>
  <c r="J585" i="10"/>
  <c r="J577" i="10"/>
  <c r="J569" i="10"/>
  <c r="J561" i="10"/>
  <c r="J553" i="10"/>
  <c r="J545" i="10"/>
  <c r="J537" i="10"/>
  <c r="J529" i="10"/>
  <c r="J521" i="10"/>
  <c r="J513" i="10"/>
  <c r="J505" i="10"/>
  <c r="J497" i="10"/>
  <c r="J489" i="10"/>
  <c r="J481" i="10"/>
  <c r="J473" i="10"/>
  <c r="J465" i="10"/>
  <c r="J457" i="10"/>
  <c r="J449" i="10"/>
  <c r="J441" i="10"/>
  <c r="J433" i="10"/>
  <c r="J425" i="10"/>
  <c r="J417" i="10"/>
  <c r="J409" i="10"/>
  <c r="J401" i="10"/>
  <c r="J393" i="10"/>
  <c r="J385" i="10"/>
  <c r="J377" i="10"/>
  <c r="J369" i="10"/>
  <c r="J361" i="10"/>
  <c r="J353" i="10"/>
  <c r="J345" i="10"/>
  <c r="J337" i="10"/>
  <c r="J329" i="10"/>
  <c r="J321" i="10"/>
  <c r="J313" i="10"/>
  <c r="J305" i="10"/>
  <c r="J297" i="10"/>
  <c r="J289" i="10"/>
  <c r="J281" i="10"/>
  <c r="J273" i="10"/>
  <c r="J265" i="10"/>
  <c r="J257" i="10"/>
  <c r="J249" i="10"/>
  <c r="J241" i="10"/>
  <c r="J233" i="10"/>
  <c r="J225" i="10"/>
  <c r="J217" i="10"/>
  <c r="J209" i="10"/>
  <c r="J201" i="10"/>
  <c r="J193" i="10"/>
  <c r="J185" i="10"/>
  <c r="J177" i="10"/>
  <c r="J169" i="10"/>
  <c r="J161" i="10"/>
  <c r="J153" i="10"/>
  <c r="J145" i="10"/>
  <c r="J137" i="10"/>
  <c r="J129" i="10"/>
  <c r="J121" i="10"/>
  <c r="J113" i="10"/>
  <c r="J105" i="10"/>
  <c r="J97" i="10"/>
  <c r="J89" i="10"/>
  <c r="J81" i="10"/>
  <c r="J73" i="10"/>
  <c r="J65" i="10"/>
  <c r="J57" i="10"/>
  <c r="J49" i="10"/>
  <c r="J41" i="10"/>
  <c r="J33" i="10"/>
  <c r="J25" i="10"/>
  <c r="J17" i="10"/>
  <c r="J128" i="10"/>
  <c r="J120" i="10"/>
  <c r="J112" i="10"/>
  <c r="J104" i="10"/>
  <c r="J96" i="10"/>
  <c r="J88" i="10"/>
  <c r="J80" i="10"/>
  <c r="J72" i="10"/>
  <c r="J64" i="10"/>
  <c r="J56" i="10"/>
  <c r="J48" i="10"/>
  <c r="J40" i="10"/>
  <c r="J32" i="10"/>
  <c r="J24" i="10"/>
  <c r="J16" i="10"/>
  <c r="J127" i="10"/>
  <c r="J119" i="10"/>
  <c r="J111" i="10"/>
  <c r="J103" i="10"/>
  <c r="J95" i="10"/>
  <c r="J87" i="10"/>
  <c r="J79" i="10"/>
  <c r="J71" i="10"/>
  <c r="J63" i="10"/>
  <c r="J55" i="10"/>
  <c r="J47" i="10"/>
  <c r="J39" i="10"/>
  <c r="J31" i="10"/>
  <c r="J23" i="10"/>
  <c r="J15" i="10"/>
  <c r="M26" i="10"/>
  <c r="N27" i="10"/>
  <c r="Q27" i="10" s="1"/>
  <c r="J382" i="10"/>
  <c r="J374" i="10"/>
  <c r="J366" i="10"/>
  <c r="J358" i="10"/>
  <c r="J350" i="10"/>
  <c r="J342" i="10"/>
  <c r="J334" i="10"/>
  <c r="J326" i="10"/>
  <c r="J318" i="10"/>
  <c r="J310" i="10"/>
  <c r="J302" i="10"/>
  <c r="J294" i="10"/>
  <c r="J286" i="10"/>
  <c r="J278" i="10"/>
  <c r="J270" i="10"/>
  <c r="J262" i="10"/>
  <c r="J254" i="10"/>
  <c r="J246" i="10"/>
  <c r="J238" i="10"/>
  <c r="J230" i="10"/>
  <c r="J222" i="10"/>
  <c r="J214" i="10"/>
  <c r="J206" i="10"/>
  <c r="J198" i="10"/>
  <c r="J190" i="10"/>
  <c r="J182" i="10"/>
  <c r="J174" i="10"/>
  <c r="J166" i="10"/>
  <c r="J158" i="10"/>
  <c r="J150" i="10"/>
  <c r="J142" i="10"/>
  <c r="J134" i="10"/>
  <c r="J126" i="10"/>
  <c r="J118" i="10"/>
  <c r="J110" i="10"/>
  <c r="J102" i="10"/>
  <c r="J94" i="10"/>
  <c r="J86" i="10"/>
  <c r="J78" i="10"/>
  <c r="J70" i="10"/>
  <c r="J62" i="10"/>
  <c r="J54" i="10"/>
  <c r="J46" i="10"/>
  <c r="J38" i="10"/>
  <c r="J30" i="10"/>
  <c r="J22" i="10"/>
  <c r="N36" i="10"/>
  <c r="Q36" i="10" s="1"/>
  <c r="M37" i="10"/>
  <c r="K19" i="24" l="1"/>
  <c r="J19" i="24"/>
  <c r="L19" i="24"/>
  <c r="C31" i="24"/>
  <c r="G30" i="24"/>
  <c r="D4" i="24"/>
  <c r="H5" i="24"/>
  <c r="T19" i="24"/>
  <c r="V19" i="24"/>
  <c r="U19" i="24"/>
  <c r="P20" i="24"/>
  <c r="X20" i="24"/>
  <c r="AB20" i="24" s="1"/>
  <c r="B21" i="24"/>
  <c r="F20" i="24"/>
  <c r="F45" i="21"/>
  <c r="I45" i="21" s="1"/>
  <c r="E46" i="21"/>
  <c r="M38" i="10"/>
  <c r="N37" i="10"/>
  <c r="Q37" i="10" s="1"/>
  <c r="M25" i="10"/>
  <c r="N26" i="10"/>
  <c r="Q26" i="10" s="1"/>
  <c r="I2" i="7"/>
  <c r="I7" i="7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/>
  <c r="J22" i="7" s="1"/>
  <c r="I3" i="7"/>
  <c r="I4" i="7" s="1"/>
  <c r="I5" i="7" s="1"/>
  <c r="I6" i="7" s="1"/>
  <c r="D3" i="24" l="1"/>
  <c r="H3" i="24" s="1"/>
  <c r="H4" i="24"/>
  <c r="C32" i="24"/>
  <c r="G31" i="24"/>
  <c r="T20" i="24"/>
  <c r="V20" i="24"/>
  <c r="U20" i="24"/>
  <c r="L20" i="24"/>
  <c r="J20" i="24"/>
  <c r="K20" i="24"/>
  <c r="B22" i="24"/>
  <c r="P21" i="24"/>
  <c r="X21" i="24"/>
  <c r="AB21" i="24" s="1"/>
  <c r="F21" i="24"/>
  <c r="F46" i="21"/>
  <c r="I46" i="21" s="1"/>
  <c r="E47" i="21"/>
  <c r="M24" i="10"/>
  <c r="N25" i="10"/>
  <c r="Q25" i="10" s="1"/>
  <c r="I23" i="7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M39" i="10"/>
  <c r="N38" i="10"/>
  <c r="Q38" i="10" s="1"/>
  <c r="D8" i="5"/>
  <c r="K36" i="5"/>
  <c r="K21" i="24" l="1"/>
  <c r="J21" i="24"/>
  <c r="L21" i="24"/>
  <c r="T21" i="24"/>
  <c r="V21" i="24"/>
  <c r="U21" i="24"/>
  <c r="B23" i="24"/>
  <c r="P22" i="24"/>
  <c r="X22" i="24"/>
  <c r="AB22" i="24" s="1"/>
  <c r="F22" i="24"/>
  <c r="C33" i="24"/>
  <c r="G32" i="24"/>
  <c r="F47" i="21"/>
  <c r="I47" i="21" s="1"/>
  <c r="E48" i="21"/>
  <c r="M23" i="10"/>
  <c r="N24" i="10"/>
  <c r="Q24" i="10" s="1"/>
  <c r="M40" i="10"/>
  <c r="N39" i="10"/>
  <c r="Q39" i="10" s="1"/>
  <c r="B24" i="24" l="1"/>
  <c r="P23" i="24"/>
  <c r="X23" i="24"/>
  <c r="AB23" i="24" s="1"/>
  <c r="F23" i="24"/>
  <c r="V22" i="24"/>
  <c r="U22" i="24"/>
  <c r="T22" i="24"/>
  <c r="L22" i="24"/>
  <c r="L54" i="24" s="1"/>
  <c r="K22" i="24"/>
  <c r="J22" i="24"/>
  <c r="C34" i="24"/>
  <c r="G33" i="24"/>
  <c r="F48" i="21"/>
  <c r="I48" i="21" s="1"/>
  <c r="E49" i="21"/>
  <c r="M41" i="10"/>
  <c r="N40" i="10"/>
  <c r="Q40" i="10" s="1"/>
  <c r="M22" i="10"/>
  <c r="N23" i="10"/>
  <c r="Q23" i="10" s="1"/>
  <c r="K37" i="5"/>
  <c r="C4" i="8"/>
  <c r="C5" i="8" s="1"/>
  <c r="D3" i="8"/>
  <c r="E3" i="8" s="1"/>
  <c r="F1" i="8"/>
  <c r="D68" i="8" s="1"/>
  <c r="J7" i="7"/>
  <c r="S7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" i="7"/>
  <c r="P3" i="7"/>
  <c r="P4" i="7" s="1"/>
  <c r="P5" i="7" s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J2" i="7"/>
  <c r="H3" i="7"/>
  <c r="H4" i="7" s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C35" i="24" l="1"/>
  <c r="G34" i="24"/>
  <c r="J23" i="24"/>
  <c r="K23" i="24"/>
  <c r="U23" i="24"/>
  <c r="T23" i="24"/>
  <c r="V54" i="24"/>
  <c r="AD54" i="24" s="1"/>
  <c r="B25" i="24"/>
  <c r="P24" i="24"/>
  <c r="X24" i="24"/>
  <c r="AB24" i="24" s="1"/>
  <c r="F24" i="24"/>
  <c r="F49" i="21"/>
  <c r="I49" i="21" s="1"/>
  <c r="E50" i="21"/>
  <c r="M21" i="10"/>
  <c r="N22" i="10"/>
  <c r="Q22" i="10" s="1"/>
  <c r="M42" i="10"/>
  <c r="N41" i="10"/>
  <c r="Q41" i="10" s="1"/>
  <c r="K7" i="7"/>
  <c r="L2" i="7" s="1"/>
  <c r="K38" i="5"/>
  <c r="C6" i="8"/>
  <c r="D27" i="8"/>
  <c r="D29" i="8"/>
  <c r="D31" i="8"/>
  <c r="D33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67" i="8"/>
  <c r="D65" i="8"/>
  <c r="D70" i="8"/>
  <c r="D69" i="8"/>
  <c r="D4" i="8"/>
  <c r="D5" i="8"/>
  <c r="E5" i="8" s="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66" i="8"/>
  <c r="D28" i="8"/>
  <c r="D30" i="8"/>
  <c r="D32" i="8"/>
  <c r="D34" i="8"/>
  <c r="D35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K24" i="24" l="1"/>
  <c r="J24" i="24"/>
  <c r="U24" i="24"/>
  <c r="T24" i="24"/>
  <c r="B26" i="24"/>
  <c r="X25" i="24"/>
  <c r="AB25" i="24" s="1"/>
  <c r="P25" i="24"/>
  <c r="F25" i="24"/>
  <c r="C36" i="24"/>
  <c r="G35" i="24"/>
  <c r="L56" i="24"/>
  <c r="F50" i="21"/>
  <c r="I50" i="21" s="1"/>
  <c r="E51" i="21"/>
  <c r="M43" i="10"/>
  <c r="N42" i="10"/>
  <c r="Q42" i="10" s="1"/>
  <c r="M20" i="10"/>
  <c r="N21" i="10"/>
  <c r="Q21" i="10" s="1"/>
  <c r="K39" i="5"/>
  <c r="E4" i="8"/>
  <c r="E6" i="8"/>
  <c r="C7" i="8"/>
  <c r="K25" i="24" l="1"/>
  <c r="J25" i="24"/>
  <c r="U25" i="24"/>
  <c r="T25" i="24"/>
  <c r="B27" i="24"/>
  <c r="X26" i="24"/>
  <c r="AB26" i="24" s="1"/>
  <c r="P26" i="24"/>
  <c r="F26" i="24"/>
  <c r="C37" i="24"/>
  <c r="G36" i="24"/>
  <c r="F51" i="21"/>
  <c r="I51" i="21" s="1"/>
  <c r="I53" i="21" s="1"/>
  <c r="M19" i="10"/>
  <c r="N20" i="10"/>
  <c r="Q20" i="10" s="1"/>
  <c r="M44" i="10"/>
  <c r="N43" i="10"/>
  <c r="Q43" i="10" s="1"/>
  <c r="K40" i="5"/>
  <c r="E7" i="8"/>
  <c r="C8" i="8"/>
  <c r="U26" i="24" l="1"/>
  <c r="T26" i="24"/>
  <c r="B28" i="24"/>
  <c r="P27" i="24"/>
  <c r="X27" i="24"/>
  <c r="AB27" i="24" s="1"/>
  <c r="F27" i="24"/>
  <c r="C38" i="24"/>
  <c r="G37" i="24"/>
  <c r="J26" i="24"/>
  <c r="K26" i="24"/>
  <c r="K53" i="21"/>
  <c r="M18" i="10"/>
  <c r="N19" i="10"/>
  <c r="Q19" i="10" s="1"/>
  <c r="M45" i="10"/>
  <c r="N44" i="10"/>
  <c r="Q44" i="10" s="1"/>
  <c r="K41" i="5"/>
  <c r="E8" i="8"/>
  <c r="C9" i="8"/>
  <c r="J27" i="24" l="1"/>
  <c r="K27" i="24"/>
  <c r="T27" i="24"/>
  <c r="U27" i="24"/>
  <c r="B29" i="24"/>
  <c r="P28" i="24"/>
  <c r="X28" i="24"/>
  <c r="AB28" i="24" s="1"/>
  <c r="F28" i="24"/>
  <c r="C39" i="24"/>
  <c r="G38" i="24"/>
  <c r="M46" i="10"/>
  <c r="N45" i="10"/>
  <c r="Q45" i="10" s="1"/>
  <c r="M17" i="10"/>
  <c r="N18" i="10"/>
  <c r="Q18" i="10" s="1"/>
  <c r="K42" i="5"/>
  <c r="E9" i="8"/>
  <c r="C10" i="8"/>
  <c r="T28" i="24" l="1"/>
  <c r="U28" i="24"/>
  <c r="K28" i="24"/>
  <c r="J28" i="24"/>
  <c r="B30" i="24"/>
  <c r="P29" i="24"/>
  <c r="X29" i="24"/>
  <c r="AB29" i="24" s="1"/>
  <c r="F29" i="24"/>
  <c r="C40" i="24"/>
  <c r="G39" i="24"/>
  <c r="M16" i="10"/>
  <c r="N17" i="10"/>
  <c r="Q17" i="10" s="1"/>
  <c r="M47" i="10"/>
  <c r="N46" i="10"/>
  <c r="Q46" i="10" s="1"/>
  <c r="K43" i="5"/>
  <c r="E10" i="8"/>
  <c r="C11" i="8"/>
  <c r="T29" i="24" l="1"/>
  <c r="U29" i="24"/>
  <c r="J29" i="24"/>
  <c r="K29" i="24"/>
  <c r="B31" i="24"/>
  <c r="P30" i="24"/>
  <c r="X30" i="24"/>
  <c r="AB30" i="24" s="1"/>
  <c r="F30" i="24"/>
  <c r="C41" i="24"/>
  <c r="G40" i="24"/>
  <c r="M15" i="10"/>
  <c r="N16" i="10"/>
  <c r="Q16" i="10" s="1"/>
  <c r="M48" i="10"/>
  <c r="N47" i="10"/>
  <c r="Q47" i="10" s="1"/>
  <c r="E11" i="8"/>
  <c r="C12" i="8"/>
  <c r="K30" i="24" l="1"/>
  <c r="J30" i="24"/>
  <c r="U30" i="24"/>
  <c r="T30" i="24"/>
  <c r="B32" i="24"/>
  <c r="P31" i="24"/>
  <c r="X31" i="24"/>
  <c r="AB31" i="24" s="1"/>
  <c r="F31" i="24"/>
  <c r="C42" i="24"/>
  <c r="G41" i="24"/>
  <c r="M49" i="10"/>
  <c r="N48" i="10"/>
  <c r="Q48" i="10" s="1"/>
  <c r="M14" i="10"/>
  <c r="N15" i="10"/>
  <c r="Q15" i="10" s="1"/>
  <c r="E12" i="8"/>
  <c r="C13" i="8"/>
  <c r="U31" i="24" l="1"/>
  <c r="T31" i="24"/>
  <c r="P32" i="24"/>
  <c r="X32" i="24"/>
  <c r="AB32" i="24" s="1"/>
  <c r="B33" i="24"/>
  <c r="F32" i="24"/>
  <c r="J31" i="24"/>
  <c r="K31" i="24"/>
  <c r="C43" i="24"/>
  <c r="G42" i="24"/>
  <c r="M13" i="10"/>
  <c r="N14" i="10"/>
  <c r="Q14" i="10" s="1"/>
  <c r="M50" i="10"/>
  <c r="N49" i="10"/>
  <c r="Q49" i="10" s="1"/>
  <c r="E13" i="8"/>
  <c r="C14" i="8"/>
  <c r="U32" i="24" l="1"/>
  <c r="T32" i="24"/>
  <c r="X33" i="24"/>
  <c r="AB33" i="24" s="1"/>
  <c r="P33" i="24"/>
  <c r="T33" i="24" s="1"/>
  <c r="F33" i="24"/>
  <c r="J33" i="24" s="1"/>
  <c r="B34" i="24"/>
  <c r="K32" i="24"/>
  <c r="K54" i="24" s="1"/>
  <c r="J32" i="24"/>
  <c r="C44" i="24"/>
  <c r="G43" i="24"/>
  <c r="M51" i="10"/>
  <c r="N51" i="10" s="1"/>
  <c r="Q51" i="10" s="1"/>
  <c r="N50" i="10"/>
  <c r="Q50" i="10" s="1"/>
  <c r="M12" i="10"/>
  <c r="N13" i="10"/>
  <c r="Q13" i="10" s="1"/>
  <c r="E14" i="8"/>
  <c r="C15" i="8"/>
  <c r="B35" i="24" l="1"/>
  <c r="X34" i="24"/>
  <c r="AB34" i="24" s="1"/>
  <c r="P34" i="24"/>
  <c r="T34" i="24" s="1"/>
  <c r="F34" i="24"/>
  <c r="J34" i="24" s="1"/>
  <c r="K56" i="24"/>
  <c r="C45" i="24"/>
  <c r="G44" i="24"/>
  <c r="U54" i="24"/>
  <c r="AC54" i="24" s="1"/>
  <c r="M11" i="10"/>
  <c r="N12" i="10"/>
  <c r="Q12" i="10" s="1"/>
  <c r="E15" i="8"/>
  <c r="C16" i="8"/>
  <c r="C46" i="24" l="1"/>
  <c r="G45" i="24"/>
  <c r="B36" i="24"/>
  <c r="P35" i="24"/>
  <c r="T35" i="24" s="1"/>
  <c r="X35" i="24"/>
  <c r="AB35" i="24" s="1"/>
  <c r="F35" i="24"/>
  <c r="J35" i="24" s="1"/>
  <c r="M10" i="10"/>
  <c r="N11" i="10"/>
  <c r="Q11" i="10" s="1"/>
  <c r="E16" i="8"/>
  <c r="C17" i="8"/>
  <c r="B37" i="24" l="1"/>
  <c r="P36" i="24"/>
  <c r="T36" i="24" s="1"/>
  <c r="X36" i="24"/>
  <c r="AB36" i="24" s="1"/>
  <c r="F36" i="24"/>
  <c r="J36" i="24" s="1"/>
  <c r="C47" i="24"/>
  <c r="G46" i="24"/>
  <c r="M9" i="10"/>
  <c r="N10" i="10"/>
  <c r="Q10" i="10" s="1"/>
  <c r="E17" i="8"/>
  <c r="C18" i="8"/>
  <c r="C48" i="24" l="1"/>
  <c r="G47" i="24"/>
  <c r="B38" i="24"/>
  <c r="P37" i="24"/>
  <c r="T37" i="24" s="1"/>
  <c r="X37" i="24"/>
  <c r="AB37" i="24" s="1"/>
  <c r="F37" i="24"/>
  <c r="J37" i="24" s="1"/>
  <c r="M8" i="10"/>
  <c r="N9" i="10"/>
  <c r="Q9" i="10" s="1"/>
  <c r="E18" i="8"/>
  <c r="C19" i="8"/>
  <c r="B39" i="24" l="1"/>
  <c r="P38" i="24"/>
  <c r="T38" i="24" s="1"/>
  <c r="X38" i="24"/>
  <c r="AB38" i="24" s="1"/>
  <c r="F38" i="24"/>
  <c r="J38" i="24" s="1"/>
  <c r="C49" i="24"/>
  <c r="G48" i="24"/>
  <c r="M7" i="10"/>
  <c r="N8" i="10"/>
  <c r="Q8" i="10" s="1"/>
  <c r="E19" i="8"/>
  <c r="C20" i="8"/>
  <c r="C50" i="24" l="1"/>
  <c r="G49" i="24"/>
  <c r="B40" i="24"/>
  <c r="P39" i="24"/>
  <c r="T39" i="24" s="1"/>
  <c r="X39" i="24"/>
  <c r="AB39" i="24" s="1"/>
  <c r="F39" i="24"/>
  <c r="J39" i="24" s="1"/>
  <c r="M6" i="10"/>
  <c r="N7" i="10"/>
  <c r="Q7" i="10" s="1"/>
  <c r="E20" i="8"/>
  <c r="C21" i="8"/>
  <c r="B41" i="24" l="1"/>
  <c r="P40" i="24"/>
  <c r="T40" i="24" s="1"/>
  <c r="X40" i="24"/>
  <c r="AB40" i="24" s="1"/>
  <c r="F40" i="24"/>
  <c r="J40" i="24" s="1"/>
  <c r="C51" i="24"/>
  <c r="G50" i="24"/>
  <c r="M5" i="10"/>
  <c r="N6" i="10"/>
  <c r="Q6" i="10" s="1"/>
  <c r="E21" i="8"/>
  <c r="C22" i="8"/>
  <c r="C52" i="24" l="1"/>
  <c r="G52" i="24" s="1"/>
  <c r="G51" i="24"/>
  <c r="B42" i="24"/>
  <c r="X41" i="24"/>
  <c r="AB41" i="24" s="1"/>
  <c r="P41" i="24"/>
  <c r="T41" i="24" s="1"/>
  <c r="F41" i="24"/>
  <c r="J41" i="24" s="1"/>
  <c r="M4" i="10"/>
  <c r="N5" i="10"/>
  <c r="Q5" i="10" s="1"/>
  <c r="E22" i="8"/>
  <c r="C23" i="8"/>
  <c r="B43" i="24" l="1"/>
  <c r="X42" i="24"/>
  <c r="AB42" i="24" s="1"/>
  <c r="P42" i="24"/>
  <c r="T42" i="24" s="1"/>
  <c r="T54" i="24" s="1"/>
  <c r="AB54" i="24" s="1"/>
  <c r="F42" i="24"/>
  <c r="J42" i="24" s="1"/>
  <c r="J54" i="24" s="1"/>
  <c r="M3" i="10"/>
  <c r="N4" i="10"/>
  <c r="Q4" i="10" s="1"/>
  <c r="E23" i="8"/>
  <c r="C24" i="8"/>
  <c r="J56" i="24" l="1"/>
  <c r="B44" i="24"/>
  <c r="P43" i="24"/>
  <c r="X43" i="24"/>
  <c r="F43" i="24"/>
  <c r="M2" i="10"/>
  <c r="N2" i="10" s="1"/>
  <c r="Q2" i="10" s="1"/>
  <c r="N3" i="10"/>
  <c r="Q3" i="10" s="1"/>
  <c r="E24" i="8"/>
  <c r="C25" i="8"/>
  <c r="B45" i="24" l="1"/>
  <c r="P44" i="24"/>
  <c r="X44" i="24"/>
  <c r="F44" i="24"/>
  <c r="Q54" i="10"/>
  <c r="E25" i="8"/>
  <c r="C26" i="8"/>
  <c r="B46" i="24" l="1"/>
  <c r="P45" i="24"/>
  <c r="X45" i="24"/>
  <c r="F45" i="24"/>
  <c r="E26" i="8"/>
  <c r="C27" i="8"/>
  <c r="B47" i="24" l="1"/>
  <c r="P46" i="24"/>
  <c r="X46" i="24"/>
  <c r="F46" i="24"/>
  <c r="E27" i="8"/>
  <c r="C28" i="8"/>
  <c r="B48" i="24" l="1"/>
  <c r="P47" i="24"/>
  <c r="X47" i="24"/>
  <c r="F47" i="24"/>
  <c r="E28" i="8"/>
  <c r="C29" i="8"/>
  <c r="B49" i="24" l="1"/>
  <c r="P48" i="24"/>
  <c r="X48" i="24"/>
  <c r="F48" i="24"/>
  <c r="E29" i="8"/>
  <c r="C30" i="8"/>
  <c r="B50" i="24" l="1"/>
  <c r="X49" i="24"/>
  <c r="P49" i="24"/>
  <c r="F49" i="24"/>
  <c r="E30" i="8"/>
  <c r="C31" i="8"/>
  <c r="B51" i="24" l="1"/>
  <c r="X50" i="24"/>
  <c r="P50" i="24"/>
  <c r="F50" i="24"/>
  <c r="E31" i="8"/>
  <c r="C32" i="8"/>
  <c r="B52" i="24" l="1"/>
  <c r="P51" i="24"/>
  <c r="X51" i="24"/>
  <c r="F51" i="24"/>
  <c r="E32" i="8"/>
  <c r="C33" i="8"/>
  <c r="P52" i="24" l="1"/>
  <c r="X52" i="24"/>
  <c r="F52" i="24"/>
  <c r="E33" i="8"/>
  <c r="C34" i="8"/>
  <c r="E34" i="8" l="1"/>
  <c r="C35" i="8"/>
  <c r="E35" i="8" l="1"/>
  <c r="C36" i="8"/>
  <c r="C37" i="8" l="1"/>
  <c r="E36" i="8"/>
  <c r="C38" i="8" l="1"/>
  <c r="E37" i="8"/>
  <c r="C39" i="8" l="1"/>
  <c r="E38" i="8"/>
  <c r="C40" i="8" l="1"/>
  <c r="E39" i="8"/>
  <c r="C41" i="8" l="1"/>
  <c r="E40" i="8"/>
  <c r="C42" i="8" l="1"/>
  <c r="E41" i="8"/>
  <c r="C43" i="8" l="1"/>
  <c r="E42" i="8"/>
  <c r="C44" i="8" l="1"/>
  <c r="E43" i="8"/>
  <c r="C45" i="8" l="1"/>
  <c r="E44" i="8"/>
  <c r="C46" i="8" l="1"/>
  <c r="E45" i="8"/>
  <c r="C47" i="8" l="1"/>
  <c r="E46" i="8"/>
  <c r="C48" i="8" l="1"/>
  <c r="E47" i="8"/>
  <c r="C49" i="8" l="1"/>
  <c r="E48" i="8"/>
  <c r="C50" i="8" l="1"/>
  <c r="E49" i="8"/>
  <c r="C51" i="8" l="1"/>
  <c r="E50" i="8"/>
  <c r="C52" i="8" l="1"/>
  <c r="E51" i="8"/>
  <c r="C53" i="8" l="1"/>
  <c r="E52" i="8"/>
  <c r="C54" i="8" l="1"/>
  <c r="E53" i="8"/>
  <c r="C55" i="8" l="1"/>
  <c r="E54" i="8"/>
  <c r="C56" i="8" l="1"/>
  <c r="E55" i="8"/>
  <c r="C57" i="8" l="1"/>
  <c r="E56" i="8"/>
  <c r="C58" i="8" l="1"/>
  <c r="E57" i="8"/>
  <c r="C59" i="8" l="1"/>
  <c r="E58" i="8"/>
  <c r="C60" i="8" l="1"/>
  <c r="E59" i="8"/>
  <c r="C61" i="8" l="1"/>
  <c r="E60" i="8"/>
  <c r="C62" i="8" l="1"/>
  <c r="E61" i="8"/>
  <c r="C63" i="8" l="1"/>
  <c r="E62" i="8"/>
  <c r="C64" i="8" l="1"/>
  <c r="E63" i="8"/>
  <c r="C65" i="8" l="1"/>
  <c r="E64" i="8"/>
  <c r="C66" i="8" l="1"/>
  <c r="E65" i="8"/>
  <c r="C67" i="8" l="1"/>
  <c r="E66" i="8"/>
  <c r="C68" i="8" l="1"/>
  <c r="E67" i="8"/>
  <c r="C69" i="8" l="1"/>
  <c r="E68" i="8"/>
  <c r="C70" i="8" l="1"/>
  <c r="E69" i="8"/>
  <c r="C71" i="8" l="1"/>
  <c r="E70" i="8"/>
  <c r="C72" i="8" l="1"/>
  <c r="E71" i="8"/>
  <c r="C73" i="8" l="1"/>
  <c r="E72" i="8"/>
  <c r="C74" i="8" l="1"/>
  <c r="E73" i="8"/>
  <c r="C75" i="8" l="1"/>
  <c r="E74" i="8"/>
  <c r="C76" i="8" l="1"/>
  <c r="E75" i="8"/>
  <c r="C77" i="8" l="1"/>
  <c r="E76" i="8"/>
  <c r="C78" i="8" l="1"/>
  <c r="E77" i="8"/>
  <c r="C79" i="8" l="1"/>
  <c r="E78" i="8"/>
  <c r="C80" i="8" l="1"/>
  <c r="E79" i="8"/>
  <c r="C81" i="8" l="1"/>
  <c r="E80" i="8"/>
  <c r="C82" i="8" l="1"/>
  <c r="E81" i="8"/>
  <c r="C83" i="8" l="1"/>
  <c r="E82" i="8"/>
  <c r="C84" i="8" l="1"/>
  <c r="E83" i="8"/>
  <c r="C85" i="8" l="1"/>
  <c r="E84" i="8"/>
  <c r="C86" i="8" l="1"/>
  <c r="E85" i="8"/>
  <c r="C87" i="8" l="1"/>
  <c r="E86" i="8"/>
  <c r="C88" i="8" l="1"/>
  <c r="E87" i="8"/>
  <c r="C89" i="8" l="1"/>
  <c r="E88" i="8"/>
  <c r="C90" i="8" l="1"/>
  <c r="E89" i="8"/>
  <c r="C91" i="8" l="1"/>
  <c r="E90" i="8"/>
  <c r="C92" i="8" l="1"/>
  <c r="E91" i="8"/>
  <c r="C93" i="8" l="1"/>
  <c r="E92" i="8"/>
  <c r="C94" i="8" l="1"/>
  <c r="E93" i="8"/>
  <c r="C95" i="8" l="1"/>
  <c r="E94" i="8"/>
  <c r="C96" i="8" l="1"/>
  <c r="E95" i="8"/>
  <c r="C97" i="8" l="1"/>
  <c r="E96" i="8"/>
  <c r="C98" i="8" l="1"/>
  <c r="E97" i="8"/>
  <c r="C99" i="8" l="1"/>
  <c r="E98" i="8"/>
  <c r="C100" i="8" l="1"/>
  <c r="E99" i="8"/>
  <c r="C101" i="8" l="1"/>
  <c r="E100" i="8"/>
  <c r="C102" i="8" l="1"/>
  <c r="E101" i="8"/>
  <c r="C103" i="8" l="1"/>
  <c r="E102" i="8"/>
  <c r="C104" i="8" l="1"/>
  <c r="E103" i="8"/>
  <c r="C105" i="8" l="1"/>
  <c r="E104" i="8"/>
  <c r="C106" i="8" l="1"/>
  <c r="E105" i="8"/>
  <c r="C107" i="8" l="1"/>
  <c r="E106" i="8"/>
  <c r="C108" i="8" l="1"/>
  <c r="E107" i="8"/>
  <c r="C109" i="8" l="1"/>
  <c r="E108" i="8"/>
  <c r="C110" i="8" l="1"/>
  <c r="E109" i="8"/>
  <c r="C111" i="8" l="1"/>
  <c r="E110" i="8"/>
  <c r="C112" i="8" l="1"/>
  <c r="E111" i="8"/>
  <c r="C113" i="8" l="1"/>
  <c r="E112" i="8"/>
  <c r="C114" i="8" l="1"/>
  <c r="E113" i="8"/>
  <c r="C115" i="8" l="1"/>
  <c r="E114" i="8"/>
  <c r="C116" i="8" l="1"/>
  <c r="E115" i="8"/>
  <c r="C117" i="8" l="1"/>
  <c r="E116" i="8"/>
  <c r="C118" i="8" l="1"/>
  <c r="E117" i="8"/>
  <c r="C119" i="8" l="1"/>
  <c r="E118" i="8"/>
  <c r="C120" i="8" l="1"/>
  <c r="E119" i="8"/>
  <c r="C121" i="8" l="1"/>
  <c r="E120" i="8"/>
  <c r="C122" i="8" l="1"/>
  <c r="E121" i="8"/>
  <c r="C123" i="8" l="1"/>
  <c r="E122" i="8"/>
  <c r="F119" i="8" s="1"/>
  <c r="G119" i="8" s="1"/>
  <c r="F120" i="8"/>
  <c r="G120" i="8" s="1"/>
  <c r="F116" i="8" l="1"/>
  <c r="G116" i="8" s="1"/>
  <c r="F121" i="8"/>
  <c r="G121" i="8" s="1"/>
  <c r="F122" i="8"/>
  <c r="G122" i="8" s="1"/>
  <c r="F5" i="8"/>
  <c r="G5" i="8" s="1"/>
  <c r="F7" i="8"/>
  <c r="G7" i="8" s="1"/>
  <c r="F6" i="8"/>
  <c r="G6" i="8" s="1"/>
  <c r="F4" i="8"/>
  <c r="G4" i="8" s="1"/>
  <c r="F3" i="8"/>
  <c r="G3" i="8" s="1"/>
  <c r="F8" i="8"/>
  <c r="G8" i="8" s="1"/>
  <c r="F11" i="8"/>
  <c r="G11" i="8" s="1"/>
  <c r="F12" i="8"/>
  <c r="G12" i="8" s="1"/>
  <c r="F10" i="8"/>
  <c r="G10" i="8" s="1"/>
  <c r="F9" i="8"/>
  <c r="G9" i="8" s="1"/>
  <c r="F13" i="8"/>
  <c r="G13" i="8" s="1"/>
  <c r="F15" i="8"/>
  <c r="G15" i="8" s="1"/>
  <c r="F16" i="8"/>
  <c r="G16" i="8" s="1"/>
  <c r="F14" i="8"/>
  <c r="G14" i="8" s="1"/>
  <c r="F17" i="8"/>
  <c r="G17" i="8" s="1"/>
  <c r="F19" i="8"/>
  <c r="G19" i="8" s="1"/>
  <c r="F18" i="8"/>
  <c r="G18" i="8" s="1"/>
  <c r="F20" i="8"/>
  <c r="G20" i="8" s="1"/>
  <c r="F21" i="8"/>
  <c r="G21" i="8" s="1"/>
  <c r="F23" i="8"/>
  <c r="G23" i="8" s="1"/>
  <c r="F24" i="8"/>
  <c r="G24" i="8" s="1"/>
  <c r="F22" i="8"/>
  <c r="G22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4" i="8"/>
  <c r="G34" i="8" s="1"/>
  <c r="F33" i="8"/>
  <c r="G33" i="8" s="1"/>
  <c r="F36" i="8"/>
  <c r="G36" i="8" s="1"/>
  <c r="F35" i="8"/>
  <c r="G35" i="8" s="1"/>
  <c r="F37" i="8"/>
  <c r="G37" i="8" s="1"/>
  <c r="F38" i="8"/>
  <c r="G38" i="8" s="1"/>
  <c r="F39" i="8"/>
  <c r="G39" i="8" s="1"/>
  <c r="F40" i="8"/>
  <c r="G40" i="8" s="1"/>
  <c r="F41" i="8"/>
  <c r="G41" i="8" s="1"/>
  <c r="F42" i="8"/>
  <c r="G42" i="8" s="1"/>
  <c r="F44" i="8"/>
  <c r="G44" i="8" s="1"/>
  <c r="F45" i="8"/>
  <c r="G45" i="8" s="1"/>
  <c r="F43" i="8"/>
  <c r="G43" i="8" s="1"/>
  <c r="F47" i="8"/>
  <c r="G47" i="8" s="1"/>
  <c r="F49" i="8"/>
  <c r="G49" i="8" s="1"/>
  <c r="F50" i="8"/>
  <c r="G50" i="8" s="1"/>
  <c r="F48" i="8"/>
  <c r="G48" i="8" s="1"/>
  <c r="F46" i="8"/>
  <c r="G46" i="8" s="1"/>
  <c r="F51" i="8"/>
  <c r="G51" i="8" s="1"/>
  <c r="F53" i="8"/>
  <c r="G53" i="8" s="1"/>
  <c r="F52" i="8"/>
  <c r="G52" i="8" s="1"/>
  <c r="F54" i="8"/>
  <c r="G54" i="8" s="1"/>
  <c r="F56" i="8"/>
  <c r="G56" i="8" s="1"/>
  <c r="F55" i="8"/>
  <c r="G55" i="8" s="1"/>
  <c r="F58" i="8"/>
  <c r="G58" i="8" s="1"/>
  <c r="F59" i="8"/>
  <c r="G59" i="8" s="1"/>
  <c r="F57" i="8"/>
  <c r="G57" i="8" s="1"/>
  <c r="F63" i="8"/>
  <c r="G63" i="8" s="1"/>
  <c r="F60" i="8"/>
  <c r="G60" i="8" s="1"/>
  <c r="F65" i="8"/>
  <c r="G65" i="8" s="1"/>
  <c r="F62" i="8"/>
  <c r="G62" i="8" s="1"/>
  <c r="F61" i="8"/>
  <c r="G61" i="8" s="1"/>
  <c r="F64" i="8"/>
  <c r="G64" i="8" s="1"/>
  <c r="F67" i="8"/>
  <c r="G67" i="8" s="1"/>
  <c r="F66" i="8"/>
  <c r="G66" i="8" s="1"/>
  <c r="F68" i="8"/>
  <c r="F69" i="8"/>
  <c r="G69" i="8" s="1"/>
  <c r="F72" i="8"/>
  <c r="G72" i="8" s="1"/>
  <c r="F71" i="8"/>
  <c r="G71" i="8" s="1"/>
  <c r="F70" i="8"/>
  <c r="G70" i="8" s="1"/>
  <c r="F75" i="8"/>
  <c r="G75" i="8" s="1"/>
  <c r="F73" i="8"/>
  <c r="G73" i="8" s="1"/>
  <c r="F74" i="8"/>
  <c r="G74" i="8" s="1"/>
  <c r="F76" i="8"/>
  <c r="G76" i="8" s="1"/>
  <c r="F79" i="8"/>
  <c r="G79" i="8" s="1"/>
  <c r="F77" i="8"/>
  <c r="G77" i="8" s="1"/>
  <c r="F78" i="8"/>
  <c r="G78" i="8" s="1"/>
  <c r="F80" i="8"/>
  <c r="G80" i="8" s="1"/>
  <c r="F83" i="8"/>
  <c r="G83" i="8" s="1"/>
  <c r="F81" i="8"/>
  <c r="G81" i="8" s="1"/>
  <c r="F82" i="8"/>
  <c r="G82" i="8" s="1"/>
  <c r="F84" i="8"/>
  <c r="G84" i="8" s="1"/>
  <c r="F85" i="8"/>
  <c r="G85" i="8" s="1"/>
  <c r="F86" i="8"/>
  <c r="G86" i="8" s="1"/>
  <c r="F87" i="8"/>
  <c r="G87" i="8" s="1"/>
  <c r="F89" i="8"/>
  <c r="G89" i="8" s="1"/>
  <c r="F88" i="8"/>
  <c r="G88" i="8" s="1"/>
  <c r="F90" i="8"/>
  <c r="G90" i="8" s="1"/>
  <c r="F92" i="8"/>
  <c r="G92" i="8" s="1"/>
  <c r="F93" i="8"/>
  <c r="G93" i="8" s="1"/>
  <c r="F91" i="8"/>
  <c r="G91" i="8" s="1"/>
  <c r="F94" i="8"/>
  <c r="G94" i="8" s="1"/>
  <c r="F96" i="8"/>
  <c r="G96" i="8" s="1"/>
  <c r="F97" i="8"/>
  <c r="G97" i="8" s="1"/>
  <c r="F95" i="8"/>
  <c r="G95" i="8" s="1"/>
  <c r="F98" i="8"/>
  <c r="G98" i="8" s="1"/>
  <c r="F99" i="8"/>
  <c r="G99" i="8" s="1"/>
  <c r="F100" i="8"/>
  <c r="G100" i="8" s="1"/>
  <c r="F102" i="8"/>
  <c r="G102" i="8" s="1"/>
  <c r="F101" i="8"/>
  <c r="G101" i="8" s="1"/>
  <c r="F103" i="8"/>
  <c r="G103" i="8" s="1"/>
  <c r="F104" i="8"/>
  <c r="G104" i="8" s="1"/>
  <c r="F105" i="8"/>
  <c r="G105" i="8" s="1"/>
  <c r="F108" i="8"/>
  <c r="G108" i="8" s="1"/>
  <c r="F107" i="8"/>
  <c r="G107" i="8" s="1"/>
  <c r="F106" i="8"/>
  <c r="G106" i="8" s="1"/>
  <c r="F111" i="8"/>
  <c r="G111" i="8" s="1"/>
  <c r="F109" i="8"/>
  <c r="G109" i="8" s="1"/>
  <c r="F110" i="8"/>
  <c r="G110" i="8" s="1"/>
  <c r="F114" i="8"/>
  <c r="G114" i="8" s="1"/>
  <c r="F113" i="8"/>
  <c r="G113" i="8" s="1"/>
  <c r="F112" i="8"/>
  <c r="G112" i="8" s="1"/>
  <c r="F115" i="8"/>
  <c r="G115" i="8" s="1"/>
  <c r="F117" i="8"/>
  <c r="G117" i="8" s="1"/>
  <c r="E123" i="8"/>
  <c r="F123" i="8" s="1"/>
  <c r="G123" i="8" s="1"/>
  <c r="F118" i="8"/>
  <c r="G118" i="8" s="1"/>
  <c r="D55" i="5" l="1"/>
  <c r="D22" i="5"/>
  <c r="D40" i="5" s="1"/>
  <c r="D58" i="5"/>
  <c r="E58" i="5" s="1"/>
  <c r="D25" i="5"/>
  <c r="D24" i="5"/>
  <c r="D57" i="5"/>
  <c r="E57" i="5" s="1"/>
  <c r="D50" i="5"/>
  <c r="D17" i="5"/>
  <c r="D35" i="5" s="1"/>
  <c r="D49" i="5"/>
  <c r="D16" i="5"/>
  <c r="D34" i="5" s="1"/>
  <c r="F58" i="5"/>
  <c r="F57" i="5"/>
  <c r="F43" i="5"/>
  <c r="F42" i="5"/>
  <c r="D20" i="5"/>
  <c r="D38" i="5" s="1"/>
  <c r="D53" i="5"/>
  <c r="D21" i="5"/>
  <c r="D39" i="5" s="1"/>
  <c r="D54" i="5"/>
  <c r="D52" i="5"/>
  <c r="D19" i="5"/>
  <c r="D37" i="5" s="1"/>
  <c r="D18" i="5"/>
  <c r="D36" i="5" s="1"/>
  <c r="D51" i="5"/>
  <c r="G68" i="8"/>
  <c r="H12" i="8"/>
  <c r="H16" i="8"/>
  <c r="H20" i="8"/>
  <c r="H24" i="8"/>
  <c r="H28" i="8"/>
  <c r="H32" i="8"/>
  <c r="H36" i="8"/>
  <c r="H40" i="8"/>
  <c r="H44" i="8"/>
  <c r="H48" i="8"/>
  <c r="H52" i="8"/>
  <c r="H56" i="8"/>
  <c r="H60" i="8"/>
  <c r="H64" i="8"/>
  <c r="H68" i="8"/>
  <c r="H72" i="8"/>
  <c r="H76" i="8"/>
  <c r="H80" i="8"/>
  <c r="H84" i="8"/>
  <c r="H88" i="8"/>
  <c r="H92" i="8"/>
  <c r="H96" i="8"/>
  <c r="H100" i="8"/>
  <c r="H104" i="8"/>
  <c r="H108" i="8"/>
  <c r="H112" i="8"/>
  <c r="H116" i="8"/>
  <c r="H120" i="8"/>
  <c r="H4" i="8"/>
  <c r="H8" i="8"/>
  <c r="H3" i="8"/>
  <c r="H21" i="8"/>
  <c r="H33" i="8"/>
  <c r="H41" i="8"/>
  <c r="H49" i="8"/>
  <c r="H57" i="8"/>
  <c r="H69" i="8"/>
  <c r="H77" i="8"/>
  <c r="H85" i="8"/>
  <c r="H93" i="8"/>
  <c r="H101" i="8"/>
  <c r="H109" i="8"/>
  <c r="H117" i="8"/>
  <c r="H5" i="8"/>
  <c r="H13" i="8"/>
  <c r="H14" i="8"/>
  <c r="H15" i="8"/>
  <c r="H19" i="8"/>
  <c r="H23" i="8"/>
  <c r="H27" i="8"/>
  <c r="H31" i="8"/>
  <c r="H35" i="8"/>
  <c r="H39" i="8"/>
  <c r="H43" i="8"/>
  <c r="H47" i="8"/>
  <c r="H51" i="8"/>
  <c r="H55" i="8"/>
  <c r="H59" i="8"/>
  <c r="H63" i="8"/>
  <c r="H67" i="8"/>
  <c r="H71" i="8"/>
  <c r="H75" i="8"/>
  <c r="H79" i="8"/>
  <c r="H83" i="8"/>
  <c r="H87" i="8"/>
  <c r="H91" i="8"/>
  <c r="H95" i="8"/>
  <c r="H99" i="8"/>
  <c r="H103" i="8"/>
  <c r="H107" i="8"/>
  <c r="H111" i="8"/>
  <c r="H115" i="8"/>
  <c r="H119" i="8"/>
  <c r="H123" i="8"/>
  <c r="H7" i="8"/>
  <c r="H11" i="8"/>
  <c r="H17" i="8"/>
  <c r="H25" i="8"/>
  <c r="H29" i="8"/>
  <c r="H37" i="8"/>
  <c r="H45" i="8"/>
  <c r="H53" i="8"/>
  <c r="H61" i="8"/>
  <c r="H65" i="8"/>
  <c r="H73" i="8"/>
  <c r="H81" i="8"/>
  <c r="H89" i="8"/>
  <c r="H97" i="8"/>
  <c r="H105" i="8"/>
  <c r="H113" i="8"/>
  <c r="H121" i="8"/>
  <c r="H9" i="8"/>
  <c r="H18" i="8"/>
  <c r="H22" i="8"/>
  <c r="H26" i="8"/>
  <c r="H30" i="8"/>
  <c r="H34" i="8"/>
  <c r="H38" i="8"/>
  <c r="H42" i="8"/>
  <c r="H46" i="8"/>
  <c r="H50" i="8"/>
  <c r="H54" i="8"/>
  <c r="H58" i="8"/>
  <c r="H62" i="8"/>
  <c r="H66" i="8"/>
  <c r="H70" i="8"/>
  <c r="H74" i="8"/>
  <c r="H78" i="8"/>
  <c r="H82" i="8"/>
  <c r="H86" i="8"/>
  <c r="H90" i="8"/>
  <c r="H94" i="8"/>
  <c r="H98" i="8"/>
  <c r="H102" i="8"/>
  <c r="H106" i="8"/>
  <c r="H110" i="8"/>
  <c r="H114" i="8"/>
  <c r="H118" i="8"/>
  <c r="H122" i="8"/>
  <c r="H6" i="8"/>
  <c r="H10" i="8"/>
  <c r="F57" i="6"/>
  <c r="F56" i="6"/>
  <c r="F55" i="6"/>
  <c r="F43" i="6"/>
  <c r="F29" i="6"/>
  <c r="F28" i="6"/>
  <c r="F27" i="6"/>
  <c r="B8" i="6"/>
  <c r="B16" i="6" s="1"/>
  <c r="J7" i="6"/>
  <c r="J8" i="6" s="1"/>
  <c r="J9" i="6" s="1"/>
  <c r="J10" i="6" s="1"/>
  <c r="J11" i="6" s="1"/>
  <c r="J12" i="6" s="1"/>
  <c r="J13" i="6" s="1"/>
  <c r="J14" i="6" s="1"/>
  <c r="J15" i="6" s="1"/>
  <c r="J16" i="6" s="1"/>
  <c r="J17" i="6" s="1"/>
  <c r="J18" i="6" s="1"/>
  <c r="J19" i="6" s="1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J32" i="6" s="1"/>
  <c r="J33" i="6" s="1"/>
  <c r="J34" i="6" s="1"/>
  <c r="J35" i="6" s="1"/>
  <c r="J36" i="6" s="1"/>
  <c r="J37" i="6" s="1"/>
  <c r="J38" i="6" s="1"/>
  <c r="J39" i="6" s="1"/>
  <c r="J40" i="6" s="1"/>
  <c r="J41" i="6" s="1"/>
  <c r="J42" i="6" s="1"/>
  <c r="J43" i="6" s="1"/>
  <c r="J44" i="6" s="1"/>
  <c r="J45" i="6" s="1"/>
  <c r="O5" i="6" l="1"/>
  <c r="E49" i="5"/>
  <c r="E16" i="5"/>
  <c r="E34" i="5" s="1"/>
  <c r="D23" i="5"/>
  <c r="D41" i="5" s="1"/>
  <c r="D56" i="5"/>
  <c r="E21" i="5"/>
  <c r="E39" i="5" s="1"/>
  <c r="E54" i="5"/>
  <c r="E22" i="5"/>
  <c r="E40" i="5" s="1"/>
  <c r="E55" i="5"/>
  <c r="E23" i="5"/>
  <c r="E41" i="5" s="1"/>
  <c r="E56" i="5"/>
  <c r="D43" i="5"/>
  <c r="E25" i="5"/>
  <c r="E43" i="5" s="1"/>
  <c r="E50" i="5"/>
  <c r="E17" i="5"/>
  <c r="E35" i="5" s="1"/>
  <c r="E53" i="5"/>
  <c r="E20" i="5"/>
  <c r="E38" i="5" s="1"/>
  <c r="E18" i="5"/>
  <c r="E36" i="5" s="1"/>
  <c r="E51" i="5"/>
  <c r="E52" i="5"/>
  <c r="E19" i="5"/>
  <c r="E37" i="5" s="1"/>
  <c r="D42" i="5"/>
  <c r="E24" i="5"/>
  <c r="E42" i="5" s="1"/>
  <c r="L43" i="6"/>
  <c r="M43" i="6" s="1"/>
  <c r="L42" i="6" l="1"/>
  <c r="M42" i="6" s="1"/>
  <c r="L41" i="6" l="1"/>
  <c r="M41" i="6" s="1"/>
  <c r="L40" i="6" l="1"/>
  <c r="M40" i="6" s="1"/>
  <c r="L39" i="6" l="1"/>
  <c r="M39" i="6" s="1"/>
  <c r="L38" i="6" l="1"/>
  <c r="M38" i="6" s="1"/>
  <c r="L37" i="6" l="1"/>
  <c r="M37" i="6" s="1"/>
  <c r="L36" i="6" l="1"/>
  <c r="M36" i="6" s="1"/>
  <c r="L35" i="6" l="1"/>
  <c r="M35" i="6" s="1"/>
  <c r="L34" i="6" l="1"/>
  <c r="M34" i="6" s="1"/>
  <c r="L33" i="6" l="1"/>
  <c r="M33" i="6" s="1"/>
  <c r="L32" i="6" l="1"/>
  <c r="M32" i="6" s="1"/>
  <c r="L31" i="6" l="1"/>
  <c r="M31" i="6" s="1"/>
  <c r="L30" i="6" l="1"/>
  <c r="M30" i="6" s="1"/>
  <c r="L29" i="6" l="1"/>
  <c r="M29" i="6" s="1"/>
  <c r="L28" i="6" l="1"/>
  <c r="M28" i="6" s="1"/>
  <c r="L27" i="6" l="1"/>
  <c r="M27" i="6" s="1"/>
  <c r="L26" i="6" l="1"/>
  <c r="M26" i="6" s="1"/>
  <c r="L25" i="6" l="1"/>
  <c r="M25" i="6" s="1"/>
  <c r="L24" i="6" l="1"/>
  <c r="M24" i="6" s="1"/>
  <c r="L23" i="6" l="1"/>
  <c r="M23" i="6" s="1"/>
  <c r="L22" i="6" l="1"/>
  <c r="M22" i="6" s="1"/>
  <c r="L21" i="6" l="1"/>
  <c r="M21" i="6" s="1"/>
  <c r="L20" i="6" l="1"/>
  <c r="M20" i="6" s="1"/>
  <c r="L19" i="6" l="1"/>
  <c r="M19" i="6" s="1"/>
  <c r="L18" i="6" l="1"/>
  <c r="M18" i="6" s="1"/>
  <c r="L17" i="6" l="1"/>
  <c r="M17" i="6" s="1"/>
  <c r="L16" i="6" l="1"/>
  <c r="M16" i="6" s="1"/>
  <c r="L44" i="6"/>
  <c r="M44" i="6" s="1"/>
  <c r="L45" i="6"/>
  <c r="M45" i="6" s="1"/>
  <c r="L15" i="6" l="1"/>
  <c r="M15" i="6" s="1"/>
  <c r="L14" i="6" l="1"/>
  <c r="M14" i="6" s="1"/>
  <c r="L13" i="6" l="1"/>
  <c r="M13" i="6" s="1"/>
  <c r="L12" i="6" l="1"/>
  <c r="M12" i="6" s="1"/>
  <c r="L11" i="6" l="1"/>
  <c r="M11" i="6" s="1"/>
  <c r="L10" i="6" l="1"/>
  <c r="M10" i="6" s="1"/>
  <c r="L9" i="6" l="1"/>
  <c r="M9" i="6" s="1"/>
  <c r="L8" i="6" l="1"/>
  <c r="M8" i="6" s="1"/>
  <c r="L7" i="6" l="1"/>
  <c r="M7" i="6" s="1"/>
  <c r="E36" i="6" l="1"/>
  <c r="E64" i="6" s="1"/>
  <c r="B29" i="6"/>
  <c r="B57" i="6" s="1"/>
  <c r="E16" i="6"/>
  <c r="E44" i="6" s="1"/>
  <c r="B17" i="6"/>
  <c r="B45" i="6" s="1"/>
  <c r="L6" i="6"/>
  <c r="E34" i="6"/>
  <c r="E62" i="6" s="1"/>
  <c r="D27" i="6"/>
  <c r="D55" i="6" s="1"/>
  <c r="C15" i="6"/>
  <c r="C43" i="6" s="1"/>
  <c r="B15" i="6"/>
  <c r="B43" i="6" s="1"/>
  <c r="D35" i="6"/>
  <c r="D63" i="6" s="1"/>
  <c r="D16" i="6"/>
  <c r="D44" i="6" s="1"/>
  <c r="E35" i="6"/>
  <c r="E63" i="6" s="1"/>
  <c r="C28" i="6"/>
  <c r="C56" i="6" s="1"/>
  <c r="B36" i="6"/>
  <c r="B64" i="6" s="1"/>
  <c r="E29" i="6"/>
  <c r="E57" i="6" s="1"/>
  <c r="B28" i="6"/>
  <c r="B56" i="6" s="1"/>
  <c r="D36" i="6"/>
  <c r="D64" i="6" s="1"/>
  <c r="D17" i="6"/>
  <c r="D45" i="6" s="1"/>
  <c r="B34" i="6"/>
  <c r="B62" i="6" s="1"/>
  <c r="C35" i="6"/>
  <c r="C63" i="6" s="1"/>
  <c r="C17" i="6"/>
  <c r="C45" i="6" s="1"/>
  <c r="D34" i="6"/>
  <c r="D62" i="6" s="1"/>
  <c r="D15" i="6"/>
  <c r="D43" i="6" s="1"/>
  <c r="D28" i="6"/>
  <c r="D56" i="6" s="1"/>
  <c r="D29" i="6"/>
  <c r="D57" i="6" s="1"/>
  <c r="B35" i="6"/>
  <c r="B63" i="6" s="1"/>
  <c r="C36" i="6"/>
  <c r="C64" i="6" s="1"/>
  <c r="C27" i="6"/>
  <c r="C55" i="6" s="1"/>
  <c r="E17" i="6"/>
  <c r="E45" i="6" s="1"/>
  <c r="B27" i="6"/>
  <c r="B55" i="6" s="1"/>
  <c r="C29" i="6"/>
  <c r="C57" i="6" s="1"/>
  <c r="C34" i="6"/>
  <c r="C62" i="6" s="1"/>
  <c r="C16" i="6"/>
  <c r="C44" i="6" s="1"/>
  <c r="E15" i="6"/>
  <c r="E43" i="6" s="1"/>
  <c r="B44" i="6"/>
  <c r="E27" i="6"/>
  <c r="E55" i="6" s="1"/>
  <c r="E28" i="6"/>
  <c r="E56" i="6" s="1"/>
  <c r="M6" i="6" l="1"/>
  <c r="M47" i="6" s="1"/>
  <c r="B8" i="5" l="1"/>
  <c r="I7" i="5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l="1"/>
  <c r="L36" i="5"/>
  <c r="N5" i="5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F43" i="1"/>
  <c r="F57" i="1"/>
  <c r="F56" i="1"/>
  <c r="F55" i="1"/>
  <c r="B8" i="1"/>
  <c r="B34" i="1" s="1"/>
  <c r="K6" i="1"/>
  <c r="K7" i="1" s="1"/>
  <c r="F27" i="1"/>
  <c r="D27" i="1" s="1"/>
  <c r="D55" i="1" s="1"/>
  <c r="F29" i="1"/>
  <c r="D29" i="1" s="1"/>
  <c r="D57" i="1" s="1"/>
  <c r="F28" i="1"/>
  <c r="C28" i="1" s="1"/>
  <c r="C56" i="1" s="1"/>
  <c r="B29" i="1"/>
  <c r="B57" i="1" s="1"/>
  <c r="D34" i="1"/>
  <c r="C34" i="1"/>
  <c r="B36" i="1"/>
  <c r="D36" i="1"/>
  <c r="E35" i="1"/>
  <c r="C35" i="1"/>
  <c r="B35" i="1"/>
  <c r="E36" i="1"/>
  <c r="C36" i="1"/>
  <c r="C64" i="1" s="1"/>
  <c r="D35" i="1"/>
  <c r="B15" i="1"/>
  <c r="B43" i="1" s="1"/>
  <c r="B16" i="1"/>
  <c r="D17" i="1"/>
  <c r="E16" i="1"/>
  <c r="C16" i="1"/>
  <c r="D15" i="1"/>
  <c r="D43" i="1" s="1"/>
  <c r="B17" i="1"/>
  <c r="E17" i="1"/>
  <c r="C17" i="1"/>
  <c r="D16" i="1"/>
  <c r="E15" i="1"/>
  <c r="E43" i="1" s="1"/>
  <c r="C15" i="1" l="1"/>
  <c r="C43" i="1" s="1"/>
  <c r="E34" i="1"/>
  <c r="E62" i="1" s="1"/>
  <c r="G50" i="5"/>
  <c r="H50" i="5" s="1"/>
  <c r="G58" i="5"/>
  <c r="G49" i="5"/>
  <c r="H49" i="5" s="1"/>
  <c r="G53" i="5"/>
  <c r="H53" i="5" s="1"/>
  <c r="G54" i="5"/>
  <c r="H54" i="5" s="1"/>
  <c r="G56" i="5"/>
  <c r="H56" i="5" s="1"/>
  <c r="G55" i="5"/>
  <c r="H55" i="5" s="1"/>
  <c r="G52" i="5"/>
  <c r="H52" i="5" s="1"/>
  <c r="G57" i="5"/>
  <c r="G51" i="5"/>
  <c r="H51" i="5" s="1"/>
  <c r="G41" i="5"/>
  <c r="G34" i="5"/>
  <c r="G35" i="5"/>
  <c r="G36" i="5"/>
  <c r="G37" i="5"/>
  <c r="G38" i="5"/>
  <c r="G39" i="5"/>
  <c r="G40" i="5"/>
  <c r="B58" i="5"/>
  <c r="B52" i="5"/>
  <c r="C52" i="5" s="1"/>
  <c r="B56" i="5"/>
  <c r="C56" i="5" s="1"/>
  <c r="B53" i="5"/>
  <c r="C53" i="5" s="1"/>
  <c r="B57" i="5"/>
  <c r="B51" i="5"/>
  <c r="C51" i="5" s="1"/>
  <c r="B55" i="5"/>
  <c r="C55" i="5" s="1"/>
  <c r="B49" i="5"/>
  <c r="C49" i="5" s="1"/>
  <c r="B50" i="5"/>
  <c r="C50" i="5" s="1"/>
  <c r="B54" i="5"/>
  <c r="C54" i="5" s="1"/>
  <c r="B17" i="5"/>
  <c r="G17" i="5" s="1"/>
  <c r="B21" i="5"/>
  <c r="G21" i="5" s="1"/>
  <c r="B25" i="5"/>
  <c r="B18" i="5"/>
  <c r="G18" i="5" s="1"/>
  <c r="B22" i="5"/>
  <c r="G22" i="5" s="1"/>
  <c r="B19" i="5"/>
  <c r="G19" i="5" s="1"/>
  <c r="B23" i="5"/>
  <c r="G23" i="5" s="1"/>
  <c r="B20" i="5"/>
  <c r="G20" i="5" s="1"/>
  <c r="B24" i="5"/>
  <c r="K7" i="5"/>
  <c r="L7" i="5" s="1"/>
  <c r="K6" i="5"/>
  <c r="I38" i="5"/>
  <c r="L37" i="5"/>
  <c r="B16" i="5"/>
  <c r="G16" i="5" s="1"/>
  <c r="B28" i="1"/>
  <c r="B56" i="1" s="1"/>
  <c r="E44" i="1"/>
  <c r="D63" i="1"/>
  <c r="C63" i="1"/>
  <c r="E63" i="1"/>
  <c r="C44" i="1"/>
  <c r="B63" i="1"/>
  <c r="D28" i="1"/>
  <c r="D56" i="1" s="1"/>
  <c r="D44" i="1"/>
  <c r="B44" i="1"/>
  <c r="E28" i="1"/>
  <c r="E56" i="1" s="1"/>
  <c r="B27" i="1"/>
  <c r="B55" i="1" s="1"/>
  <c r="E45" i="1"/>
  <c r="B64" i="1"/>
  <c r="C45" i="1"/>
  <c r="D64" i="1"/>
  <c r="B45" i="1"/>
  <c r="D45" i="1"/>
  <c r="E27" i="1"/>
  <c r="E55" i="1" s="1"/>
  <c r="K8" i="5"/>
  <c r="L8" i="5" s="1"/>
  <c r="C62" i="1"/>
  <c r="L7" i="1"/>
  <c r="M7" i="1" s="1"/>
  <c r="K8" i="1"/>
  <c r="E64" i="1"/>
  <c r="E29" i="1"/>
  <c r="E57" i="1" s="1"/>
  <c r="L6" i="1"/>
  <c r="M6" i="1" s="1"/>
  <c r="B62" i="1"/>
  <c r="D62" i="1"/>
  <c r="C27" i="1"/>
  <c r="C55" i="1" s="1"/>
  <c r="C29" i="1"/>
  <c r="C57" i="1" s="1"/>
  <c r="H37" i="5" l="1"/>
  <c r="B37" i="5"/>
  <c r="C37" i="5" s="1"/>
  <c r="H36" i="5"/>
  <c r="B36" i="5"/>
  <c r="C36" i="5" s="1"/>
  <c r="C58" i="5"/>
  <c r="H58" i="5" s="1"/>
  <c r="C57" i="5"/>
  <c r="H57" i="5" s="1"/>
  <c r="H35" i="5"/>
  <c r="B35" i="5"/>
  <c r="C35" i="5" s="1"/>
  <c r="C25" i="5"/>
  <c r="G25" i="5"/>
  <c r="H34" i="5"/>
  <c r="B34" i="5"/>
  <c r="C34" i="5" s="1"/>
  <c r="H41" i="5"/>
  <c r="B41" i="5"/>
  <c r="C41" i="5" s="1"/>
  <c r="H38" i="5"/>
  <c r="B38" i="5"/>
  <c r="C38" i="5" s="1"/>
  <c r="C24" i="5"/>
  <c r="G24" i="5"/>
  <c r="H40" i="5"/>
  <c r="B40" i="5"/>
  <c r="C40" i="5" s="1"/>
  <c r="H39" i="5"/>
  <c r="B39" i="5"/>
  <c r="C39" i="5" s="1"/>
  <c r="H20" i="5"/>
  <c r="C20" i="5"/>
  <c r="H18" i="5"/>
  <c r="C18" i="5"/>
  <c r="H23" i="5"/>
  <c r="C23" i="5"/>
  <c r="H16" i="5"/>
  <c r="C16" i="5"/>
  <c r="H19" i="5"/>
  <c r="C19" i="5"/>
  <c r="H21" i="5"/>
  <c r="C21" i="5"/>
  <c r="H22" i="5"/>
  <c r="C22" i="5"/>
  <c r="H17" i="5"/>
  <c r="C17" i="5"/>
  <c r="I39" i="5"/>
  <c r="L38" i="5"/>
  <c r="M6" i="5"/>
  <c r="M7" i="5" s="1"/>
  <c r="M8" i="5" s="1"/>
  <c r="L6" i="5"/>
  <c r="K45" i="5"/>
  <c r="K44" i="5"/>
  <c r="K9" i="5"/>
  <c r="L9" i="5" s="1"/>
  <c r="K9" i="1"/>
  <c r="L8" i="1"/>
  <c r="M8" i="1" s="1"/>
  <c r="C42" i="5" l="1"/>
  <c r="G42" i="5" s="1"/>
  <c r="C43" i="5"/>
  <c r="G43" i="5" s="1"/>
  <c r="M9" i="5"/>
  <c r="H24" i="5"/>
  <c r="H25" i="5"/>
  <c r="I40" i="5"/>
  <c r="L39" i="5"/>
  <c r="K10" i="5"/>
  <c r="L10" i="5" s="1"/>
  <c r="L9" i="1"/>
  <c r="M9" i="1" s="1"/>
  <c r="K10" i="1"/>
  <c r="H43" i="5" l="1"/>
  <c r="B43" i="5"/>
  <c r="B42" i="5"/>
  <c r="H42" i="5"/>
  <c r="I41" i="5"/>
  <c r="L40" i="5"/>
  <c r="M10" i="5"/>
  <c r="K11" i="5"/>
  <c r="L11" i="5" s="1"/>
  <c r="K11" i="1"/>
  <c r="L10" i="1"/>
  <c r="M10" i="1" s="1"/>
  <c r="M11" i="5" l="1"/>
  <c r="I42" i="5"/>
  <c r="L41" i="5"/>
  <c r="K12" i="5"/>
  <c r="L12" i="5" s="1"/>
  <c r="L11" i="1"/>
  <c r="M11" i="1" s="1"/>
  <c r="K12" i="1"/>
  <c r="M12" i="5" l="1"/>
  <c r="I43" i="5"/>
  <c r="L42" i="5"/>
  <c r="K13" i="5"/>
  <c r="L13" i="5" s="1"/>
  <c r="K13" i="1"/>
  <c r="L12" i="1"/>
  <c r="M12" i="1" s="1"/>
  <c r="I44" i="5" l="1"/>
  <c r="L43" i="5"/>
  <c r="M13" i="5"/>
  <c r="K14" i="5"/>
  <c r="L14" i="5" s="1"/>
  <c r="L13" i="1"/>
  <c r="M13" i="1" s="1"/>
  <c r="K14" i="1"/>
  <c r="M14" i="5" l="1"/>
  <c r="I45" i="5"/>
  <c r="L45" i="5" s="1"/>
  <c r="L44" i="5"/>
  <c r="K15" i="5"/>
  <c r="L15" i="5" s="1"/>
  <c r="K15" i="1"/>
  <c r="L14" i="1"/>
  <c r="M14" i="1" s="1"/>
  <c r="M15" i="5" l="1"/>
  <c r="K16" i="5"/>
  <c r="L16" i="5" s="1"/>
  <c r="L15" i="1"/>
  <c r="M15" i="1" s="1"/>
  <c r="K16" i="1"/>
  <c r="M16" i="5" l="1"/>
  <c r="K17" i="5"/>
  <c r="L17" i="5" s="1"/>
  <c r="K17" i="1"/>
  <c r="L16" i="1"/>
  <c r="M16" i="1" s="1"/>
  <c r="M17" i="5" l="1"/>
  <c r="K18" i="5"/>
  <c r="L18" i="5" s="1"/>
  <c r="L17" i="1"/>
  <c r="M17" i="1" s="1"/>
  <c r="K18" i="1"/>
  <c r="M18" i="5" l="1"/>
  <c r="K19" i="5"/>
  <c r="L19" i="5" s="1"/>
  <c r="K19" i="1"/>
  <c r="L18" i="1"/>
  <c r="M18" i="1" s="1"/>
  <c r="M19" i="5" l="1"/>
  <c r="K20" i="5"/>
  <c r="L20" i="5" s="1"/>
  <c r="L19" i="1"/>
  <c r="M19" i="1" s="1"/>
  <c r="K20" i="1"/>
  <c r="M20" i="5" l="1"/>
  <c r="K21" i="5"/>
  <c r="L21" i="5" s="1"/>
  <c r="K21" i="1"/>
  <c r="L20" i="1"/>
  <c r="M20" i="1" s="1"/>
  <c r="M21" i="5" l="1"/>
  <c r="K22" i="5"/>
  <c r="L22" i="5" s="1"/>
  <c r="L21" i="1"/>
  <c r="M21" i="1" s="1"/>
  <c r="K22" i="1"/>
  <c r="M22" i="5" l="1"/>
  <c r="K23" i="5"/>
  <c r="L23" i="5" s="1"/>
  <c r="K23" i="1"/>
  <c r="L22" i="1"/>
  <c r="M22" i="1" s="1"/>
  <c r="M23" i="5" l="1"/>
  <c r="K24" i="5"/>
  <c r="L24" i="5" s="1"/>
  <c r="L23" i="1"/>
  <c r="M23" i="1" s="1"/>
  <c r="K24" i="1"/>
  <c r="M24" i="5" l="1"/>
  <c r="K25" i="5"/>
  <c r="L25" i="5" s="1"/>
  <c r="K25" i="1"/>
  <c r="L24" i="1"/>
  <c r="M24" i="1" s="1"/>
  <c r="M25" i="5" l="1"/>
  <c r="K26" i="5"/>
  <c r="L26" i="5" s="1"/>
  <c r="K26" i="1"/>
  <c r="L25" i="1"/>
  <c r="M25" i="1" s="1"/>
  <c r="M26" i="5" l="1"/>
  <c r="K27" i="5"/>
  <c r="L27" i="5" s="1"/>
  <c r="K27" i="1"/>
  <c r="L26" i="1"/>
  <c r="M26" i="1" s="1"/>
  <c r="M27" i="5" l="1"/>
  <c r="K28" i="5"/>
  <c r="L28" i="5" s="1"/>
  <c r="L27" i="1"/>
  <c r="M27" i="1" s="1"/>
  <c r="K28" i="1"/>
  <c r="M28" i="5" l="1"/>
  <c r="K29" i="5"/>
  <c r="L29" i="5" s="1"/>
  <c r="K29" i="1"/>
  <c r="L28" i="1"/>
  <c r="M28" i="1" s="1"/>
  <c r="M29" i="5" l="1"/>
  <c r="K30" i="5"/>
  <c r="L30" i="5" s="1"/>
  <c r="L29" i="1"/>
  <c r="M29" i="1" s="1"/>
  <c r="K30" i="1"/>
  <c r="M30" i="5" l="1"/>
  <c r="K31" i="5"/>
  <c r="L31" i="5" s="1"/>
  <c r="K31" i="1"/>
  <c r="L30" i="1"/>
  <c r="M30" i="1" s="1"/>
  <c r="M31" i="5" l="1"/>
  <c r="K32" i="5"/>
  <c r="L32" i="5" s="1"/>
  <c r="K32" i="1"/>
  <c r="L31" i="1"/>
  <c r="M31" i="1" s="1"/>
  <c r="M32" i="5" l="1"/>
  <c r="K33" i="5"/>
  <c r="L33" i="5" s="1"/>
  <c r="K33" i="1"/>
  <c r="L32" i="1"/>
  <c r="M32" i="1" s="1"/>
  <c r="M33" i="5" l="1"/>
  <c r="K34" i="5"/>
  <c r="L34" i="5" s="1"/>
  <c r="L33" i="1"/>
  <c r="M33" i="1" s="1"/>
  <c r="K34" i="1"/>
  <c r="M34" i="5" l="1"/>
  <c r="K35" i="5"/>
  <c r="L35" i="5" s="1"/>
  <c r="L50" i="5" s="1"/>
  <c r="K35" i="1"/>
  <c r="L35" i="1" s="1"/>
  <c r="M35" i="1" s="1"/>
  <c r="L34" i="1"/>
  <c r="M34" i="1" s="1"/>
  <c r="O5" i="1"/>
  <c r="M35" i="5" l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helpdesk</author>
  </authors>
  <commentList>
    <comment ref="F2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JB: This converts the annuity at age 65 to a LS at age 55.  An age 55, 10-year defered life annuity factor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helpdesk</author>
  </authors>
  <commentList>
    <comment ref="F27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JB: This converts the annuity at age 65 to a LS at age 55.  An age 55, 10-year defered life annuity factor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<sst xmlns="http://schemas.openxmlformats.org/spreadsheetml/2006/main" count="454" uniqueCount="162">
  <si>
    <t>ER Contribution Percentage</t>
  </si>
  <si>
    <t>EE Contribution Percentage</t>
  </si>
  <si>
    <t>Salary</t>
  </si>
  <si>
    <t>Age</t>
  </si>
  <si>
    <t>Rate of Return</t>
  </si>
  <si>
    <t>Salary Increase</t>
  </si>
  <si>
    <t>Interest Factor</t>
  </si>
  <si>
    <t>LS amounts payable at age 55,65,75 respectively</t>
  </si>
  <si>
    <t>Factor</t>
  </si>
  <si>
    <t>PPA 2010</t>
  </si>
  <si>
    <t>Imm Factor</t>
  </si>
  <si>
    <t>Def Factor</t>
  </si>
  <si>
    <t>Year</t>
  </si>
  <si>
    <t>Return</t>
  </si>
  <si>
    <t>Service Start Age</t>
  </si>
  <si>
    <t>Contrib</t>
  </si>
  <si>
    <t>Contrib w. int.</t>
  </si>
  <si>
    <t>DC Check</t>
  </si>
  <si>
    <t>AGE 25/55</t>
  </si>
  <si>
    <t>DB Check</t>
  </si>
  <si>
    <t>PEP Plan</t>
  </si>
  <si>
    <t>DC Plan</t>
  </si>
  <si>
    <t>REPLACEMENT RATIO'S</t>
  </si>
  <si>
    <t>Annual Benefit For Life Expectancy</t>
  </si>
  <si>
    <t xml:space="preserve">DB Plan - Formula x%*High 5*BS </t>
  </si>
  <si>
    <t>x%</t>
  </si>
  <si>
    <t>Retirement Assumptions</t>
  </si>
  <si>
    <t xml:space="preserve">DC and hybrid </t>
  </si>
  <si>
    <t>Sal Inc &amp; rate of return</t>
  </si>
  <si>
    <t>AGE 35/75</t>
  </si>
  <si>
    <t>PPAUCO08</t>
  </si>
  <si>
    <t>PPAUCO09</t>
  </si>
  <si>
    <t>PPAUCO10</t>
  </si>
  <si>
    <t>PPAUCO11</t>
  </si>
  <si>
    <t>PPAUCO12</t>
  </si>
  <si>
    <t>PPAUCO13</t>
  </si>
  <si>
    <t>PPAUCO14</t>
  </si>
  <si>
    <t>0-5</t>
  </si>
  <si>
    <t>&gt;20</t>
  </si>
  <si>
    <t>5-20</t>
  </si>
  <si>
    <t>annuity</t>
  </si>
  <si>
    <t>year</t>
  </si>
  <si>
    <t>interest</t>
  </si>
  <si>
    <t>PV</t>
  </si>
  <si>
    <t>total PV</t>
  </si>
  <si>
    <t>equiv rate</t>
  </si>
  <si>
    <t>Interest rate</t>
  </si>
  <si>
    <t>Age (x)</t>
  </si>
  <si>
    <t>q(x) - 1 year</t>
  </si>
  <si>
    <t>s(x) - P(live 0 to x)</t>
  </si>
  <si>
    <t>Interest (0 to x)</t>
  </si>
  <si>
    <t>Annuity Value - D(x)</t>
  </si>
  <si>
    <t>N(x)</t>
  </si>
  <si>
    <t>a(x)</t>
  </si>
  <si>
    <t>def 65</t>
  </si>
  <si>
    <t>PPAUCO15</t>
  </si>
  <si>
    <t>PPAUCO16</t>
  </si>
  <si>
    <t>PPAUCO17</t>
  </si>
  <si>
    <t>PPAUCO18</t>
  </si>
  <si>
    <t>Interest Code</t>
  </si>
  <si>
    <t>Financial fcn's</t>
  </si>
  <si>
    <t>Goal Seek</t>
  </si>
  <si>
    <t>2018 mortality</t>
  </si>
  <si>
    <t>https://www.investopedia.com/articles/retirement/05/lumpsumpension.asp</t>
  </si>
  <si>
    <t>https://www.soa.org/Files/Research/Projects/research-2016-lump-sum-mrd.pdf</t>
  </si>
  <si>
    <t>https://stats.bls.gov/opub/mlr/2002/05/art3full.pdf</t>
  </si>
  <si>
    <t>http://s3.amazonaws.com/presspublisher-do/upload/567/Mottola_DB_annuity_report.pdf</t>
  </si>
  <si>
    <t>http://www.fightforamericanjobs.org/PensionReviewBoard-ReviewofDBandDCPlans.pdf</t>
  </si>
  <si>
    <t>http://crr.bc.edu/wp-content/uploads/2015/12/IB_15-211.pdf</t>
  </si>
  <si>
    <t>AGE 25/65</t>
  </si>
  <si>
    <t>Alt. Contrib Bal</t>
  </si>
  <si>
    <t>Retirement Age</t>
  </si>
  <si>
    <t>Lump Sum</t>
  </si>
  <si>
    <t>Single Life Annuity</t>
  </si>
  <si>
    <t>Imm factor</t>
  </si>
  <si>
    <t>Late Factor</t>
  </si>
  <si>
    <t>Hybrid</t>
  </si>
  <si>
    <t xml:space="preserve">DC ………….. hybrid </t>
  </si>
  <si>
    <t xml:space="preserve">DC…………... hybrid </t>
  </si>
  <si>
    <t>Age 65</t>
  </si>
  <si>
    <t>Repl Ratio</t>
  </si>
  <si>
    <t>Sal incr/return rate</t>
  </si>
  <si>
    <t>Date</t>
  </si>
  <si>
    <t>Open</t>
  </si>
  <si>
    <t>High</t>
  </si>
  <si>
    <t>Low</t>
  </si>
  <si>
    <t>Close</t>
  </si>
  <si>
    <t>Adj Close</t>
  </si>
  <si>
    <t>Volume</t>
  </si>
  <si>
    <t>Contribution</t>
  </si>
  <si>
    <t>salary increase</t>
  </si>
  <si>
    <t>With Interest</t>
  </si>
  <si>
    <t>Total Return</t>
  </si>
  <si>
    <t>Total</t>
  </si>
  <si>
    <t>1000 simulation</t>
  </si>
  <si>
    <t>mean</t>
  </si>
  <si>
    <t>sd</t>
  </si>
  <si>
    <t>Bin</t>
  </si>
  <si>
    <t>More</t>
  </si>
  <si>
    <t>Frequency</t>
  </si>
  <si>
    <t>bin</t>
  </si>
  <si>
    <t>1000 simulation result</t>
  </si>
  <si>
    <t>Scroll Down</t>
  </si>
  <si>
    <t>Bootstrap</t>
  </si>
  <si>
    <t>Geometric Average</t>
  </si>
  <si>
    <t>Fixed Rate</t>
  </si>
  <si>
    <t>Binomial Expectation</t>
  </si>
  <si>
    <t>Factors</t>
  </si>
  <si>
    <t>Service Start Age ($50,000 Initial Salary)</t>
  </si>
  <si>
    <t>Salary_25</t>
  </si>
  <si>
    <t>Salary_35</t>
  </si>
  <si>
    <t>Salary_45</t>
  </si>
  <si>
    <t>538061.4(298421.3)</t>
  </si>
  <si>
    <t>1544223(1032849)</t>
  </si>
  <si>
    <t>3709756(3123656)</t>
  </si>
  <si>
    <t>303576.2(139362.6)</t>
  </si>
  <si>
    <t>1000662(586577.8)</t>
  </si>
  <si>
    <t>2766862(2030739)</t>
  </si>
  <si>
    <t>133470.8(42638.46)</t>
  </si>
  <si>
    <t>568730(268760.9)</t>
  </si>
  <si>
    <t>1738008(1063426)</t>
  </si>
  <si>
    <t>334153.8(178072.7)</t>
  </si>
  <si>
    <t>782949.4(490195.6)</t>
  </si>
  <si>
    <t>1706950(1250197)</t>
  </si>
  <si>
    <t>227499(100626.4)</t>
  </si>
  <si>
    <t>594697.6(318708.4)</t>
  </si>
  <si>
    <t>1429139(930631.6)</t>
  </si>
  <si>
    <t>113851.7(35982.87)</t>
  </si>
  <si>
    <t>394972.3(172815.3)</t>
  </si>
  <si>
    <t>1060921(587224.5)</t>
  </si>
  <si>
    <t>4.24% wage increase / starting pay: $50,000 at 25, 35, and 45 / retire at age 55, 65, 75 / Fixed interest rate: 7.7%</t>
  </si>
  <si>
    <t>Contribution %</t>
  </si>
  <si>
    <t>*graded rates 4% for the first 10 years, 5%, 6%, 7% for each 10-year period thereafter</t>
  </si>
  <si>
    <t>graded*</t>
  </si>
  <si>
    <t>DC Plan - Fixed Return  - LS amounts payable at age 65</t>
  </si>
  <si>
    <t>https://www.ncbi.nlm.nih.gov/pmc/articles/PMC2972552/</t>
  </si>
  <si>
    <t>https://www.ssa.gov/policy/docs/ssb/v69n3/v69n3p1.html</t>
  </si>
  <si>
    <t>DC Plan - Bootstrap  - LS amounts payable at age 65</t>
  </si>
  <si>
    <t>Start Age</t>
  </si>
  <si>
    <t>Interest Rate</t>
  </si>
  <si>
    <t>40 Years</t>
  </si>
  <si>
    <t>30 Years</t>
  </si>
  <si>
    <t>20 Years</t>
  </si>
  <si>
    <t xml:space="preserve">Graded Contribution </t>
  </si>
  <si>
    <t>4% Contribution</t>
  </si>
  <si>
    <t>8% Contribution</t>
  </si>
  <si>
    <t>https://www.irs.gov/pub/irs-drop/n-17-60.pdf</t>
  </si>
  <si>
    <t>Visit Appendix B of  Link Below for mortality rate</t>
  </si>
  <si>
    <t>S&amp;P Value at the Beginning of the Year</t>
  </si>
  <si>
    <t>https://finance.yahoo.com/quote/%5EGSPC/history?period1=-631134000&amp;period2=1552622400&amp;interval=1mo&amp;filter=history&amp;frequency=1mo</t>
  </si>
  <si>
    <t>Return at the End of the Year</t>
  </si>
  <si>
    <t>S&amp;P Values available at the link below</t>
  </si>
  <si>
    <t>Monthly Volatility of the Year</t>
  </si>
  <si>
    <t>Yearly Adjusted Volatility of the Year</t>
  </si>
  <si>
    <t>Salary increase</t>
  </si>
  <si>
    <t>Yearly Returns</t>
  </si>
  <si>
    <t>40 years Interest Accumulation</t>
  </si>
  <si>
    <t>30 years Interest Accumulation</t>
  </si>
  <si>
    <t>20 years Interest Accumulation</t>
  </si>
  <si>
    <t>Future Value at Retirement</t>
  </si>
  <si>
    <t>In paper, initial salary are said to be $50,000 at service start age at 25, 25, and 45. In these excel simulations, initial salary is $50,000 at age 20. age 35 and 45 are not considered? Same for the previous sheet "DC Fixed Contirubtion Rate"</t>
  </si>
  <si>
    <t>Fixed Interest 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</si>
</sst>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0"/>
    <numFmt numFmtId="167" formatCode="#,##0.0000_);\(#,##0.0000\)"/>
    <numFmt numFmtId="169" formatCode="_(&quot;$&quot;* #,##0.000000_);_(&quot;$&quot;* \(#,##0.000000\);_(&quot;$&quot;* &quot;-&quot;??_);_(@_)"/>
    <numFmt numFmtId="170" formatCode="_(&quot;$&quot;* #,##0.00000000_);_(&quot;$&quot;* \(#,##0.00000000\);_(&quot;$&quot;* &quot;-&quot;??_);_(@_)"/>
    <numFmt numFmtId="171" formatCode="_(* #,##0.000000_);_(* \(#,##0.000000\);_(* &quot;-&quot;??_);_(@_)"/>
    <numFmt numFmtId="172" formatCode="0.00000"/>
    <numFmt numFmtId="173" formatCode="_-* #,##0.000_-;\-* #,##0.000_-;_-* &quot;-&quot;_-;_-@_-"/>
    <numFmt numFmtId="175" formatCode="_(* #,##0_);_(* \(#,##0\);_(* &quot;-&quot;??_);_(@_)"/>
    <numFmt numFmtId="176" formatCode="0.0%"/>
    <numFmt numFmtId="177" formatCode="_(&quot;$&quot;* #,##0_);_(&quot;$&quot;* \(#,##0\);_(&quot;$&quot;* &quot;-&quot;??_);_(@_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FFFF"/>
      <name val="Lucida Sans Unicode"/>
      <family val="2"/>
    </font>
    <font>
      <sz val="16"/>
      <color theme="1"/>
      <name val="Lucida Sans Unicode"/>
      <family val="2"/>
    </font>
    <font>
      <sz val="16"/>
      <color rgb="FF000000"/>
      <name val="Lucida Sans Unicode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charset val="129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8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DA2B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164" fontId="1" fillId="0" borderId="0" applyFont="0" applyFill="0" applyBorder="0" applyAlignment="0" applyProtection="0"/>
    <xf numFmtId="0" fontId="16" fillId="9" borderId="0" applyNumberFormat="0" applyBorder="0" applyAlignment="0" applyProtection="0"/>
    <xf numFmtId="0" fontId="17" fillId="10" borderId="13" applyNumberFormat="0" applyAlignment="0" applyProtection="0"/>
    <xf numFmtId="0" fontId="21" fillId="0" borderId="0" applyNumberFormat="0" applyFill="0" applyBorder="0" applyAlignment="0" applyProtection="0"/>
  </cellStyleXfs>
  <cellXfs count="142">
    <xf numFmtId="0" fontId="0" fillId="0" borderId="0" xfId="0"/>
    <xf numFmtId="44" fontId="0" fillId="0" borderId="0" xfId="1" applyFont="1"/>
    <xf numFmtId="0" fontId="2" fillId="0" borderId="0" xfId="0" applyFont="1"/>
    <xf numFmtId="2" fontId="0" fillId="0" borderId="0" xfId="0" applyNumberFormat="1"/>
    <xf numFmtId="2" fontId="0" fillId="0" borderId="0" xfId="1" applyNumberFormat="1" applyFont="1"/>
    <xf numFmtId="0" fontId="4" fillId="0" borderId="0" xfId="2" applyFont="1"/>
    <xf numFmtId="0" fontId="3" fillId="0" borderId="0" xfId="2"/>
    <xf numFmtId="166" fontId="3" fillId="0" borderId="0" xfId="2" applyNumberFormat="1"/>
    <xf numFmtId="0" fontId="2" fillId="0" borderId="0" xfId="0" applyFont="1" applyAlignment="1">
      <alignment horizontal="center"/>
    </xf>
    <xf numFmtId="166" fontId="0" fillId="0" borderId="0" xfId="0" applyNumberFormat="1"/>
    <xf numFmtId="44" fontId="2" fillId="0" borderId="0" xfId="1" applyFont="1"/>
    <xf numFmtId="0" fontId="5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4" xfId="0" applyFont="1" applyBorder="1"/>
    <xf numFmtId="0" fontId="2" fillId="0" borderId="4" xfId="0" applyFont="1" applyBorder="1" applyAlignment="1">
      <alignment horizontal="righ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7" fontId="0" fillId="0" borderId="5" xfId="1" applyNumberFormat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2" fillId="0" borderId="2" xfId="0" applyFont="1" applyBorder="1"/>
    <xf numFmtId="0" fontId="2" fillId="0" borderId="6" xfId="0" applyFont="1" applyBorder="1"/>
    <xf numFmtId="44" fontId="0" fillId="0" borderId="7" xfId="1" applyFont="1" applyBorder="1"/>
    <xf numFmtId="0" fontId="0" fillId="0" borderId="0" xfId="0" applyAlignment="1">
      <alignment horizontal="left"/>
    </xf>
    <xf numFmtId="44" fontId="0" fillId="2" borderId="0" xfId="1" applyFont="1" applyFill="1"/>
    <xf numFmtId="44" fontId="2" fillId="2" borderId="0" xfId="1" applyFont="1" applyFill="1"/>
    <xf numFmtId="44" fontId="0" fillId="3" borderId="0" xfId="1" applyFont="1" applyFill="1"/>
    <xf numFmtId="44" fontId="2" fillId="3" borderId="0" xfId="0" applyNumberFormat="1" applyFont="1" applyFill="1"/>
    <xf numFmtId="0" fontId="0" fillId="3" borderId="5" xfId="0" applyFill="1" applyBorder="1"/>
    <xf numFmtId="44" fontId="0" fillId="4" borderId="0" xfId="1" applyFont="1" applyFill="1"/>
    <xf numFmtId="0" fontId="3" fillId="4" borderId="0" xfId="2" applyFill="1"/>
    <xf numFmtId="166" fontId="3" fillId="4" borderId="0" xfId="2" applyNumberFormat="1" applyFill="1"/>
    <xf numFmtId="44" fontId="0" fillId="4" borderId="7" xfId="1" applyFont="1" applyFill="1" applyBorder="1"/>
    <xf numFmtId="169" fontId="0" fillId="0" borderId="0" xfId="0" applyNumberFormat="1"/>
    <xf numFmtId="44" fontId="0" fillId="0" borderId="0" xfId="0" applyNumberFormat="1"/>
    <xf numFmtId="170" fontId="0" fillId="0" borderId="0" xfId="0" applyNumberFormat="1"/>
    <xf numFmtId="8" fontId="0" fillId="0" borderId="0" xfId="0" applyNumberFormat="1"/>
    <xf numFmtId="43" fontId="0" fillId="0" borderId="0" xfId="3" applyFont="1"/>
    <xf numFmtId="8" fontId="0" fillId="0" borderId="0" xfId="3" applyNumberFormat="1" applyFont="1"/>
    <xf numFmtId="0" fontId="4" fillId="0" borderId="0" xfId="2" applyFont="1" applyAlignment="1">
      <alignment horizontal="center"/>
    </xf>
    <xf numFmtId="0" fontId="3" fillId="0" borderId="0" xfId="2" applyAlignment="1">
      <alignment horizontal="center"/>
    </xf>
    <xf numFmtId="0" fontId="3" fillId="6" borderId="0" xfId="2" applyFill="1" applyAlignment="1">
      <alignment vertical="center"/>
    </xf>
    <xf numFmtId="172" fontId="3" fillId="6" borderId="0" xfId="2" applyNumberFormat="1" applyFill="1" applyAlignment="1">
      <alignment horizontal="center"/>
    </xf>
    <xf numFmtId="166" fontId="3" fillId="0" borderId="0" xfId="2" applyNumberFormat="1" applyAlignment="1">
      <alignment horizontal="center"/>
    </xf>
    <xf numFmtId="0" fontId="4" fillId="0" borderId="0" xfId="2" applyFont="1" applyAlignment="1">
      <alignment vertical="center"/>
    </xf>
    <xf numFmtId="172" fontId="4" fillId="0" borderId="0" xfId="2" applyNumberFormat="1" applyFont="1" applyAlignment="1">
      <alignment horizontal="center"/>
    </xf>
    <xf numFmtId="166" fontId="4" fillId="0" borderId="0" xfId="2" applyNumberFormat="1" applyFont="1" applyAlignment="1">
      <alignment horizontal="center"/>
    </xf>
    <xf numFmtId="172" fontId="3" fillId="0" borderId="0" xfId="2" applyNumberFormat="1" applyAlignment="1">
      <alignment horizontal="center"/>
    </xf>
    <xf numFmtId="0" fontId="3" fillId="3" borderId="0" xfId="2" applyFill="1"/>
    <xf numFmtId="172" fontId="3" fillId="3" borderId="0" xfId="2" applyNumberFormat="1" applyFill="1" applyAlignment="1">
      <alignment horizontal="center"/>
    </xf>
    <xf numFmtId="0" fontId="3" fillId="0" borderId="0" xfId="2" applyAlignment="1">
      <alignment vertical="center"/>
    </xf>
    <xf numFmtId="0" fontId="8" fillId="5" borderId="9" xfId="0" applyFont="1" applyFill="1" applyBorder="1" applyAlignment="1">
      <alignment horizontal="center" vertical="center" wrapText="1" readingOrder="1"/>
    </xf>
    <xf numFmtId="0" fontId="9" fillId="0" borderId="9" xfId="0" applyFont="1" applyBorder="1" applyAlignment="1">
      <alignment horizontal="center" vertical="center" wrapText="1" readingOrder="1"/>
    </xf>
    <xf numFmtId="10" fontId="9" fillId="0" borderId="9" xfId="0" applyNumberFormat="1" applyFont="1" applyBorder="1" applyAlignment="1">
      <alignment horizontal="center" vertical="center" wrapText="1" readingOrder="1"/>
    </xf>
    <xf numFmtId="0" fontId="8" fillId="5" borderId="10" xfId="0" applyFont="1" applyFill="1" applyBorder="1" applyAlignment="1">
      <alignment horizontal="center" vertical="center" wrapText="1" readingOrder="1"/>
    </xf>
    <xf numFmtId="0" fontId="10" fillId="0" borderId="10" xfId="0" applyFont="1" applyBorder="1" applyAlignment="1">
      <alignment horizontal="center" vertical="center" wrapText="1" readingOrder="1"/>
    </xf>
    <xf numFmtId="10" fontId="10" fillId="0" borderId="10" xfId="0" applyNumberFormat="1" applyFont="1" applyBorder="1" applyAlignment="1">
      <alignment horizontal="center" vertical="center" wrapText="1" readingOrder="1"/>
    </xf>
    <xf numFmtId="0" fontId="8" fillId="5" borderId="11" xfId="0" applyFont="1" applyFill="1" applyBorder="1" applyAlignment="1">
      <alignment horizontal="center" vertical="center" wrapText="1" readingOrder="1"/>
    </xf>
    <xf numFmtId="0" fontId="10" fillId="0" borderId="11" xfId="0" applyFont="1" applyBorder="1" applyAlignment="1">
      <alignment horizontal="center" vertical="center" wrapText="1" readingOrder="1"/>
    </xf>
    <xf numFmtId="10" fontId="10" fillId="0" borderId="11" xfId="0" applyNumberFormat="1" applyFont="1" applyBorder="1" applyAlignment="1">
      <alignment horizontal="center" vertical="center" wrapText="1" readingOrder="1"/>
    </xf>
    <xf numFmtId="16" fontId="2" fillId="0" borderId="0" xfId="0" quotePrefix="1" applyNumberFormat="1" applyFont="1" applyAlignment="1">
      <alignment horizontal="center"/>
    </xf>
    <xf numFmtId="171" fontId="0" fillId="3" borderId="0" xfId="3" applyNumberFormat="1" applyFont="1" applyFill="1"/>
    <xf numFmtId="0" fontId="0" fillId="3" borderId="0" xfId="0" applyFill="1"/>
    <xf numFmtId="10" fontId="10" fillId="3" borderId="11" xfId="0" applyNumberFormat="1" applyFont="1" applyFill="1" applyBorder="1" applyAlignment="1">
      <alignment horizontal="center" vertical="center" wrapText="1" readingOrder="1"/>
    </xf>
    <xf numFmtId="10" fontId="9" fillId="0" borderId="11" xfId="0" applyNumberFormat="1" applyFont="1" applyBorder="1" applyAlignment="1">
      <alignment horizontal="center" vertical="center" wrapText="1" readingOrder="1"/>
    </xf>
    <xf numFmtId="10" fontId="9" fillId="3" borderId="11" xfId="0" applyNumberFormat="1" applyFont="1" applyFill="1" applyBorder="1" applyAlignment="1">
      <alignment horizontal="center" vertical="center" wrapText="1" readingOrder="1"/>
    </xf>
    <xf numFmtId="10" fontId="9" fillId="0" borderId="10" xfId="0" applyNumberFormat="1" applyFont="1" applyBorder="1" applyAlignment="1">
      <alignment horizontal="center" vertical="center" wrapText="1" readingOrder="1"/>
    </xf>
    <xf numFmtId="10" fontId="0" fillId="0" borderId="0" xfId="4" applyNumberFormat="1" applyFont="1"/>
    <xf numFmtId="0" fontId="11" fillId="0" borderId="0" xfId="0" applyFont="1" applyAlignment="1">
      <alignment horizontal="right" vertical="center"/>
    </xf>
    <xf numFmtId="0" fontId="11" fillId="3" borderId="0" xfId="0" applyFont="1" applyFill="1" applyAlignment="1">
      <alignment horizontal="right" vertical="center"/>
    </xf>
    <xf numFmtId="166" fontId="3" fillId="3" borderId="0" xfId="2" applyNumberFormat="1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167" fontId="0" fillId="0" borderId="0" xfId="1" applyNumberFormat="1" applyFont="1"/>
    <xf numFmtId="0" fontId="2" fillId="3" borderId="0" xfId="0" applyFont="1" applyFill="1" applyAlignment="1">
      <alignment horizontal="center"/>
    </xf>
    <xf numFmtId="44" fontId="2" fillId="3" borderId="0" xfId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44" fontId="0" fillId="3" borderId="0" xfId="0" applyNumberFormat="1" applyFill="1"/>
    <xf numFmtId="17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0" fontId="0" fillId="2" borderId="0" xfId="4" applyNumberFormat="1" applyFont="1" applyFill="1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12" fillId="7" borderId="0" xfId="5"/>
    <xf numFmtId="0" fontId="13" fillId="8" borderId="0" xfId="6"/>
    <xf numFmtId="0" fontId="14" fillId="0" borderId="12" xfId="0" applyFont="1" applyBorder="1" applyAlignment="1">
      <alignment horizontal="center"/>
    </xf>
    <xf numFmtId="0" fontId="16" fillId="9" borderId="0" xfId="8"/>
    <xf numFmtId="173" fontId="12" fillId="7" borderId="0" xfId="7" applyNumberFormat="1" applyFont="1" applyFill="1"/>
    <xf numFmtId="173" fontId="0" fillId="0" borderId="0" xfId="0" applyNumberFormat="1"/>
    <xf numFmtId="165" fontId="0" fillId="0" borderId="0" xfId="0" applyNumberFormat="1"/>
    <xf numFmtId="0" fontId="17" fillId="10" borderId="13" xfId="9"/>
    <xf numFmtId="1" fontId="13" fillId="8" borderId="0" xfId="6" applyNumberFormat="1"/>
    <xf numFmtId="175" fontId="0" fillId="0" borderId="0" xfId="3" applyNumberFormat="1" applyFont="1"/>
    <xf numFmtId="175" fontId="0" fillId="0" borderId="0" xfId="3" applyNumberFormat="1" applyFont="1" applyAlignment="1">
      <alignment horizontal="center" vertical="center"/>
    </xf>
    <xf numFmtId="44" fontId="12" fillId="7" borderId="0" xfId="1" applyFont="1" applyFill="1"/>
    <xf numFmtId="44" fontId="12" fillId="3" borderId="0" xfId="1" applyFont="1" applyFill="1"/>
    <xf numFmtId="10" fontId="0" fillId="3" borderId="0" xfId="4" applyNumberFormat="1" applyFont="1" applyFill="1"/>
    <xf numFmtId="0" fontId="12" fillId="0" borderId="0" xfId="5" applyFill="1"/>
    <xf numFmtId="0" fontId="19" fillId="0" borderId="0" xfId="5" applyFont="1" applyFill="1"/>
    <xf numFmtId="0" fontId="12" fillId="0" borderId="14" xfId="5" applyFill="1" applyBorder="1"/>
    <xf numFmtId="0" fontId="19" fillId="0" borderId="14" xfId="5" applyFont="1" applyFill="1" applyBorder="1"/>
    <xf numFmtId="176" fontId="19" fillId="0" borderId="14" xfId="4" applyNumberFormat="1" applyFont="1" applyBorder="1"/>
    <xf numFmtId="0" fontId="19" fillId="0" borderId="14" xfId="5" applyFont="1" applyFill="1" applyBorder="1" applyAlignment="1">
      <alignment horizontal="right"/>
    </xf>
    <xf numFmtId="177" fontId="12" fillId="0" borderId="14" xfId="1" applyNumberFormat="1" applyFont="1" applyBorder="1"/>
    <xf numFmtId="177" fontId="0" fillId="0" borderId="0" xfId="0" applyNumberFormat="1"/>
    <xf numFmtId="43" fontId="0" fillId="0" borderId="0" xfId="0" applyNumberFormat="1"/>
    <xf numFmtId="43" fontId="19" fillId="0" borderId="0" xfId="3" applyFont="1"/>
    <xf numFmtId="43" fontId="12" fillId="0" borderId="0" xfId="3" applyFont="1"/>
    <xf numFmtId="177" fontId="12" fillId="0" borderId="0" xfId="1" applyNumberFormat="1" applyFont="1"/>
    <xf numFmtId="177" fontId="0" fillId="0" borderId="14" xfId="0" applyNumberFormat="1" applyBorder="1"/>
    <xf numFmtId="0" fontId="16" fillId="0" borderId="0" xfId="8" applyFill="1"/>
    <xf numFmtId="44" fontId="13" fillId="8" borderId="0" xfId="1" applyFont="1" applyFill="1"/>
    <xf numFmtId="0" fontId="12" fillId="7" borderId="0" xfId="5" applyAlignment="1">
      <alignment horizontal="center"/>
    </xf>
    <xf numFmtId="0" fontId="17" fillId="10" borderId="13" xfId="9" applyAlignment="1">
      <alignment horizontal="center" vertical="center"/>
    </xf>
    <xf numFmtId="0" fontId="13" fillId="8" borderId="0" xfId="6" applyAlignment="1">
      <alignment horizontal="center"/>
    </xf>
    <xf numFmtId="0" fontId="17" fillId="11" borderId="0" xfId="0" applyFont="1" applyFill="1" applyAlignment="1">
      <alignment horizontal="center" vertical="center"/>
    </xf>
    <xf numFmtId="0" fontId="19" fillId="0" borderId="14" xfId="5" applyFont="1" applyFill="1" applyBorder="1" applyAlignment="1">
      <alignment horizontal="center"/>
    </xf>
    <xf numFmtId="0" fontId="12" fillId="0" borderId="14" xfId="5" applyFill="1" applyBorder="1" applyAlignment="1">
      <alignment horizontal="center"/>
    </xf>
    <xf numFmtId="44" fontId="18" fillId="16" borderId="0" xfId="1" applyFont="1" applyFill="1" applyAlignment="1">
      <alignment horizontal="center" vertical="center"/>
    </xf>
    <xf numFmtId="44" fontId="18" fillId="11" borderId="0" xfId="1" applyFont="1" applyFill="1" applyAlignment="1">
      <alignment horizontal="center"/>
    </xf>
    <xf numFmtId="44" fontId="18" fillId="12" borderId="0" xfId="1" applyFont="1" applyFill="1" applyAlignment="1">
      <alignment horizontal="center" vertical="center"/>
    </xf>
    <xf numFmtId="44" fontId="18" fillId="13" borderId="0" xfId="1" applyFont="1" applyFill="1" applyAlignment="1">
      <alignment horizontal="center" vertical="center"/>
    </xf>
    <xf numFmtId="44" fontId="18" fillId="14" borderId="0" xfId="1" applyFont="1" applyFill="1" applyAlignment="1">
      <alignment horizontal="center" vertical="center"/>
    </xf>
    <xf numFmtId="44" fontId="18" fillId="15" borderId="0" xfId="1" applyFont="1" applyFill="1" applyAlignment="1">
      <alignment horizontal="center" vertical="center"/>
    </xf>
    <xf numFmtId="44" fontId="12" fillId="7" borderId="0" xfId="5" applyNumberFormat="1"/>
    <xf numFmtId="0" fontId="20" fillId="9" borderId="0" xfId="8" applyFont="1" applyAlignment="1">
      <alignment horizontal="center" vertical="center" wrapText="1"/>
    </xf>
    <xf numFmtId="0" fontId="21" fillId="0" borderId="0" xfId="10"/>
    <xf numFmtId="0" fontId="21" fillId="0" borderId="0" xfId="1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7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17" borderId="0" xfId="0" applyFill="1"/>
  </cellXfs>
  <cellStyles count="11">
    <cellStyle name="Bad" xfId="8" builtinId="27"/>
    <cellStyle name="Check Cell" xfId="9" builtinId="23"/>
    <cellStyle name="Comma" xfId="3" builtinId="3"/>
    <cellStyle name="Comma [0]" xfId="7" builtinId="6"/>
    <cellStyle name="Currency" xfId="1" builtinId="4"/>
    <cellStyle name="Good" xfId="5" builtinId="26"/>
    <cellStyle name="Hyperlink" xfId="10" builtinId="8"/>
    <cellStyle name="Neutral" xfId="6" builtinId="28"/>
    <cellStyle name="Normal" xfId="0" builtinId="0"/>
    <cellStyle name="Normal 2" xfId="2" xr:uid="{00000000-0005-0000-0000-000008000000}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Bootstrap!$V$54:$V$59</c:f>
              <c:strCache>
                <c:ptCount val="6"/>
                <c:pt idx="0">
                  <c:v> 343,508.85 </c:v>
                </c:pt>
                <c:pt idx="1">
                  <c:v> 4,632,131.43 </c:v>
                </c:pt>
                <c:pt idx="2">
                  <c:v> 8,920,754.01 </c:v>
                </c:pt>
                <c:pt idx="3">
                  <c:v> 13,209,376.59 </c:v>
                </c:pt>
                <c:pt idx="4">
                  <c:v> 17,497,999.17 </c:v>
                </c:pt>
                <c:pt idx="5">
                  <c:v>More</c:v>
                </c:pt>
              </c:strCache>
            </c:strRef>
          </c:cat>
          <c:val>
            <c:numRef>
              <c:f>Bootstrap!$W$54:$W$59</c:f>
              <c:numCache>
                <c:formatCode>General</c:formatCode>
                <c:ptCount val="6"/>
                <c:pt idx="0">
                  <c:v>0</c:v>
                </c:pt>
                <c:pt idx="1">
                  <c:v>656</c:v>
                </c:pt>
                <c:pt idx="2">
                  <c:v>225</c:v>
                </c:pt>
                <c:pt idx="3">
                  <c:v>74</c:v>
                </c:pt>
                <c:pt idx="4">
                  <c:v>29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E-4516-BA61-742239335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78120"/>
        <c:axId val="401971888"/>
      </c:barChart>
      <c:catAx>
        <c:axId val="401978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971888"/>
        <c:crosses val="autoZero"/>
        <c:auto val="1"/>
        <c:lblAlgn val="ctr"/>
        <c:lblOffset val="100"/>
        <c:noMultiLvlLbl val="0"/>
      </c:catAx>
      <c:valAx>
        <c:axId val="401971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978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Bootstrap!$V$64:$V$95</c:f>
              <c:strCache>
                <c:ptCount val="32"/>
                <c:pt idx="0">
                  <c:v>360069.0305</c:v>
                </c:pt>
                <c:pt idx="1">
                  <c:v>2005744.557</c:v>
                </c:pt>
                <c:pt idx="2">
                  <c:v>3651420.084</c:v>
                </c:pt>
                <c:pt idx="3">
                  <c:v>5297095.611</c:v>
                </c:pt>
                <c:pt idx="4">
                  <c:v>6942771.137</c:v>
                </c:pt>
                <c:pt idx="5">
                  <c:v>8588446.664</c:v>
                </c:pt>
                <c:pt idx="6">
                  <c:v>10234122.19</c:v>
                </c:pt>
                <c:pt idx="7">
                  <c:v>11879797.72</c:v>
                </c:pt>
                <c:pt idx="8">
                  <c:v>13525473.24</c:v>
                </c:pt>
                <c:pt idx="9">
                  <c:v>15171148.77</c:v>
                </c:pt>
                <c:pt idx="10">
                  <c:v>16816824.3</c:v>
                </c:pt>
                <c:pt idx="11">
                  <c:v>18462499.82</c:v>
                </c:pt>
                <c:pt idx="12">
                  <c:v>20108175.35</c:v>
                </c:pt>
                <c:pt idx="13">
                  <c:v>21753850.88</c:v>
                </c:pt>
                <c:pt idx="14">
                  <c:v>23399526.4</c:v>
                </c:pt>
                <c:pt idx="15">
                  <c:v>25045201.93</c:v>
                </c:pt>
                <c:pt idx="16">
                  <c:v>26690877.46</c:v>
                </c:pt>
                <c:pt idx="17">
                  <c:v>28336552.98</c:v>
                </c:pt>
                <c:pt idx="18">
                  <c:v>29982228.51</c:v>
                </c:pt>
                <c:pt idx="19">
                  <c:v>31627904.04</c:v>
                </c:pt>
                <c:pt idx="20">
                  <c:v>33273579.56</c:v>
                </c:pt>
                <c:pt idx="21">
                  <c:v>34919255.09</c:v>
                </c:pt>
                <c:pt idx="22">
                  <c:v>36564930.62</c:v>
                </c:pt>
                <c:pt idx="23">
                  <c:v>38210606.14</c:v>
                </c:pt>
                <c:pt idx="24">
                  <c:v>39856281.67</c:v>
                </c:pt>
                <c:pt idx="25">
                  <c:v>41501957.2</c:v>
                </c:pt>
                <c:pt idx="26">
                  <c:v>43147632.72</c:v>
                </c:pt>
                <c:pt idx="27">
                  <c:v>44793308.25</c:v>
                </c:pt>
                <c:pt idx="28">
                  <c:v>46438983.78</c:v>
                </c:pt>
                <c:pt idx="29">
                  <c:v>48084659.3</c:v>
                </c:pt>
                <c:pt idx="30">
                  <c:v>49730334.83</c:v>
                </c:pt>
                <c:pt idx="31">
                  <c:v>More</c:v>
                </c:pt>
              </c:strCache>
            </c:strRef>
          </c:cat>
          <c:val>
            <c:numRef>
              <c:f>Bootstrap!$W$64:$W$95</c:f>
              <c:numCache>
                <c:formatCode>General</c:formatCode>
                <c:ptCount val="32"/>
                <c:pt idx="0">
                  <c:v>1</c:v>
                </c:pt>
                <c:pt idx="1">
                  <c:v>253</c:v>
                </c:pt>
                <c:pt idx="2">
                  <c:v>293</c:v>
                </c:pt>
                <c:pt idx="3">
                  <c:v>182</c:v>
                </c:pt>
                <c:pt idx="4">
                  <c:v>85</c:v>
                </c:pt>
                <c:pt idx="5">
                  <c:v>55</c:v>
                </c:pt>
                <c:pt idx="6">
                  <c:v>51</c:v>
                </c:pt>
                <c:pt idx="7">
                  <c:v>21</c:v>
                </c:pt>
                <c:pt idx="8">
                  <c:v>16</c:v>
                </c:pt>
                <c:pt idx="9">
                  <c:v>11</c:v>
                </c:pt>
                <c:pt idx="10">
                  <c:v>15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6D-4168-A549-DA7CE902E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232344"/>
        <c:axId val="398233328"/>
      </c:barChart>
      <c:catAx>
        <c:axId val="39823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8233328"/>
        <c:crosses val="autoZero"/>
        <c:auto val="1"/>
        <c:lblAlgn val="ctr"/>
        <c:lblOffset val="100"/>
        <c:noMultiLvlLbl val="0"/>
      </c:catAx>
      <c:valAx>
        <c:axId val="3982333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8232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52</xdr:row>
          <xdr:rowOff>171450</xdr:rowOff>
        </xdr:from>
        <xdr:to>
          <xdr:col>6</xdr:col>
          <xdr:colOff>819150</xdr:colOff>
          <xdr:row>54</xdr:row>
          <xdr:rowOff>28575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411480</xdr:colOff>
      <xdr:row>1</xdr:row>
      <xdr:rowOff>99060</xdr:rowOff>
    </xdr:from>
    <xdr:to>
      <xdr:col>10</xdr:col>
      <xdr:colOff>441960</xdr:colOff>
      <xdr:row>8</xdr:row>
      <xdr:rowOff>38100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>
        <a:xfrm>
          <a:off x="13342620" y="281940"/>
          <a:ext cx="30480" cy="1219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266700</xdr:colOff>
          <xdr:row>52</xdr:row>
          <xdr:rowOff>171450</xdr:rowOff>
        </xdr:from>
        <xdr:to>
          <xdr:col>14</xdr:col>
          <xdr:colOff>819150</xdr:colOff>
          <xdr:row>54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411480</xdr:colOff>
      <xdr:row>1</xdr:row>
      <xdr:rowOff>99060</xdr:rowOff>
    </xdr:from>
    <xdr:to>
      <xdr:col>18</xdr:col>
      <xdr:colOff>434340</xdr:colOff>
      <xdr:row>11</xdr:row>
      <xdr:rowOff>22860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3235940" y="281940"/>
          <a:ext cx="22860" cy="1752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457200</xdr:colOff>
      <xdr:row>46</xdr:row>
      <xdr:rowOff>114300</xdr:rowOff>
    </xdr:from>
    <xdr:to>
      <xdr:col>30</xdr:col>
      <xdr:colOff>518160</xdr:colOff>
      <xdr:row>59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495300</xdr:colOff>
      <xdr:row>60</xdr:row>
      <xdr:rowOff>60960</xdr:rowOff>
    </xdr:from>
    <xdr:to>
      <xdr:col>32</xdr:col>
      <xdr:colOff>304800</xdr:colOff>
      <xdr:row>80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ishop/Downloads/2017_PIA_Contribs_5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PIA"/>
      <sheetName val="EE_payin"/>
      <sheetName val="PPA Mortality"/>
      <sheetName val="DC 12%"/>
      <sheetName val="DC_6%"/>
    </sheetNames>
    <sheetDataSet>
      <sheetData sheetId="0">
        <row r="7">
          <cell r="B7">
            <v>24020</v>
          </cell>
          <cell r="C7">
            <v>47788</v>
          </cell>
        </row>
        <row r="9">
          <cell r="B9">
            <v>47761</v>
          </cell>
        </row>
        <row r="10">
          <cell r="B10">
            <v>47788</v>
          </cell>
          <cell r="C10">
            <v>65.083333333333329</v>
          </cell>
        </row>
        <row r="13">
          <cell r="B13" t="str">
            <v>Yes</v>
          </cell>
        </row>
        <row r="14">
          <cell r="B14" t="str">
            <v>S</v>
          </cell>
        </row>
        <row r="15">
          <cell r="B15">
            <v>0.05</v>
          </cell>
        </row>
        <row r="18">
          <cell r="A18">
            <v>1951</v>
          </cell>
        </row>
        <row r="19">
          <cell r="A19">
            <v>1952</v>
          </cell>
        </row>
        <row r="20">
          <cell r="A20">
            <v>1953</v>
          </cell>
        </row>
        <row r="21">
          <cell r="A21">
            <v>1954</v>
          </cell>
        </row>
        <row r="22">
          <cell r="A22">
            <v>1955</v>
          </cell>
        </row>
        <row r="23">
          <cell r="A23">
            <v>1956</v>
          </cell>
        </row>
        <row r="24">
          <cell r="A24">
            <v>1957</v>
          </cell>
        </row>
        <row r="25">
          <cell r="A25">
            <v>1958</v>
          </cell>
        </row>
        <row r="26">
          <cell r="A26">
            <v>1959</v>
          </cell>
        </row>
        <row r="27">
          <cell r="A27">
            <v>1960</v>
          </cell>
        </row>
        <row r="28">
          <cell r="A28">
            <v>1961</v>
          </cell>
        </row>
        <row r="29">
          <cell r="A29">
            <v>1962</v>
          </cell>
        </row>
        <row r="30">
          <cell r="A30">
            <v>1963</v>
          </cell>
        </row>
        <row r="31">
          <cell r="A31">
            <v>1964</v>
          </cell>
        </row>
        <row r="32">
          <cell r="A32">
            <v>1965</v>
          </cell>
        </row>
        <row r="33">
          <cell r="A33">
            <v>1966</v>
          </cell>
        </row>
        <row r="34">
          <cell r="A34">
            <v>1967</v>
          </cell>
          <cell r="B34">
            <v>14000</v>
          </cell>
        </row>
        <row r="35">
          <cell r="A35">
            <v>1968</v>
          </cell>
          <cell r="B35">
            <v>15400.000000000002</v>
          </cell>
        </row>
        <row r="36">
          <cell r="A36">
            <v>1969</v>
          </cell>
          <cell r="B36">
            <v>16940.000000000004</v>
          </cell>
        </row>
        <row r="37">
          <cell r="A37">
            <v>1970</v>
          </cell>
          <cell r="B37">
            <v>15500</v>
          </cell>
        </row>
        <row r="38">
          <cell r="A38">
            <v>1971</v>
          </cell>
        </row>
        <row r="39">
          <cell r="A39">
            <v>1972</v>
          </cell>
        </row>
        <row r="40">
          <cell r="A40">
            <v>1973</v>
          </cell>
        </row>
        <row r="41">
          <cell r="A41">
            <v>1974</v>
          </cell>
          <cell r="B41">
            <v>12000</v>
          </cell>
        </row>
        <row r="42">
          <cell r="A42">
            <v>1975</v>
          </cell>
          <cell r="B42">
            <v>18700</v>
          </cell>
        </row>
        <row r="43">
          <cell r="A43">
            <v>1976</v>
          </cell>
          <cell r="B43">
            <v>20570</v>
          </cell>
        </row>
        <row r="44">
          <cell r="A44">
            <v>1977</v>
          </cell>
          <cell r="B44">
            <v>22627.000000000004</v>
          </cell>
        </row>
        <row r="45">
          <cell r="A45">
            <v>1978</v>
          </cell>
          <cell r="B45">
            <v>24889.700000000004</v>
          </cell>
        </row>
        <row r="46">
          <cell r="A46">
            <v>1979</v>
          </cell>
          <cell r="B46">
            <v>27378.670000000006</v>
          </cell>
        </row>
        <row r="47">
          <cell r="A47">
            <v>1980</v>
          </cell>
          <cell r="B47">
            <v>30116.537000000008</v>
          </cell>
        </row>
        <row r="48">
          <cell r="A48">
            <v>1981</v>
          </cell>
          <cell r="B48">
            <v>33128.190700000014</v>
          </cell>
        </row>
        <row r="49">
          <cell r="A49">
            <v>1982</v>
          </cell>
          <cell r="B49">
            <v>36441.009770000019</v>
          </cell>
        </row>
        <row r="50">
          <cell r="A50">
            <v>1983</v>
          </cell>
          <cell r="B50">
            <v>40085.110747000021</v>
          </cell>
        </row>
        <row r="51">
          <cell r="A51">
            <v>1984</v>
          </cell>
          <cell r="B51">
            <v>44093.621821700028</v>
          </cell>
        </row>
        <row r="52">
          <cell r="A52">
            <v>1985</v>
          </cell>
          <cell r="B52">
            <v>48502.984003870035</v>
          </cell>
        </row>
        <row r="53">
          <cell r="A53">
            <v>1986</v>
          </cell>
          <cell r="B53">
            <v>53353.282404257043</v>
          </cell>
        </row>
        <row r="54">
          <cell r="A54">
            <v>1987</v>
          </cell>
          <cell r="B54">
            <v>58688.610644682754</v>
          </cell>
        </row>
        <row r="55">
          <cell r="A55">
            <v>1988</v>
          </cell>
          <cell r="B55">
            <v>64557.471709151032</v>
          </cell>
        </row>
        <row r="56">
          <cell r="A56">
            <v>1989</v>
          </cell>
          <cell r="B56">
            <v>71013.218880066139</v>
          </cell>
        </row>
        <row r="57">
          <cell r="A57">
            <v>1990</v>
          </cell>
          <cell r="B57">
            <v>78114.540768072766</v>
          </cell>
        </row>
        <row r="58">
          <cell r="A58">
            <v>1991</v>
          </cell>
          <cell r="B58">
            <v>85925.994844880042</v>
          </cell>
        </row>
        <row r="59">
          <cell r="A59">
            <v>1992</v>
          </cell>
          <cell r="B59">
            <v>94518.594329368061</v>
          </cell>
        </row>
        <row r="60">
          <cell r="A60">
            <v>1993</v>
          </cell>
          <cell r="B60">
            <v>103970.45376230488</v>
          </cell>
        </row>
        <row r="61">
          <cell r="A61">
            <v>1994</v>
          </cell>
          <cell r="B61">
            <v>114367.49913853538</v>
          </cell>
        </row>
        <row r="62">
          <cell r="A62">
            <v>1995</v>
          </cell>
          <cell r="B62">
            <v>125804.24905238893</v>
          </cell>
        </row>
        <row r="63">
          <cell r="A63">
            <v>1996</v>
          </cell>
          <cell r="B63">
            <v>138384.67395762782</v>
          </cell>
        </row>
        <row r="64">
          <cell r="A64">
            <v>1997</v>
          </cell>
          <cell r="B64">
            <v>152223.14135339062</v>
          </cell>
        </row>
        <row r="65">
          <cell r="A65">
            <v>1998</v>
          </cell>
          <cell r="B65">
            <v>167445.4554887297</v>
          </cell>
        </row>
        <row r="66">
          <cell r="A66">
            <v>1999</v>
          </cell>
          <cell r="B66">
            <v>184190.00103760269</v>
          </cell>
        </row>
        <row r="67">
          <cell r="A67">
            <v>2000</v>
          </cell>
          <cell r="B67">
            <v>202609.00114136297</v>
          </cell>
        </row>
        <row r="68">
          <cell r="A68">
            <v>2001</v>
          </cell>
          <cell r="B68">
            <v>222869.90125549928</v>
          </cell>
        </row>
        <row r="69">
          <cell r="A69">
            <v>2002</v>
          </cell>
          <cell r="B69">
            <v>245156.89138104924</v>
          </cell>
        </row>
        <row r="70">
          <cell r="A70">
            <v>2003</v>
          </cell>
          <cell r="B70">
            <v>269672.5805191542</v>
          </cell>
        </row>
        <row r="71">
          <cell r="A71">
            <v>2004</v>
          </cell>
          <cell r="B71">
            <v>296639.83857106965</v>
          </cell>
        </row>
        <row r="72">
          <cell r="A72">
            <v>2005</v>
          </cell>
          <cell r="B72">
            <v>326303.82242817665</v>
          </cell>
        </row>
        <row r="73">
          <cell r="A73">
            <v>2006</v>
          </cell>
          <cell r="B73">
            <v>358934.20467099431</v>
          </cell>
        </row>
        <row r="74">
          <cell r="A74">
            <v>2007</v>
          </cell>
          <cell r="B74">
            <v>394827.62513809378</v>
          </cell>
        </row>
        <row r="75">
          <cell r="A75">
            <v>2008</v>
          </cell>
          <cell r="B75">
            <v>434310.38765190321</v>
          </cell>
        </row>
        <row r="76">
          <cell r="A76">
            <v>2009</v>
          </cell>
          <cell r="B76">
            <v>477741.42641709355</v>
          </cell>
        </row>
        <row r="77">
          <cell r="A77">
            <v>2010</v>
          </cell>
          <cell r="B77">
            <v>200000</v>
          </cell>
        </row>
        <row r="78">
          <cell r="A78">
            <v>2011</v>
          </cell>
          <cell r="B78">
            <v>200000</v>
          </cell>
        </row>
        <row r="79">
          <cell r="A79">
            <v>2012</v>
          </cell>
          <cell r="B79">
            <v>200000</v>
          </cell>
        </row>
        <row r="80">
          <cell r="A80">
            <v>2013</v>
          </cell>
          <cell r="B80">
            <v>200000</v>
          </cell>
        </row>
        <row r="81">
          <cell r="A81">
            <v>2014</v>
          </cell>
          <cell r="B81">
            <v>200000</v>
          </cell>
        </row>
        <row r="82">
          <cell r="A82">
            <v>2015</v>
          </cell>
          <cell r="B82">
            <v>200000</v>
          </cell>
        </row>
        <row r="83">
          <cell r="A83">
            <v>2016</v>
          </cell>
          <cell r="B83">
            <v>200000</v>
          </cell>
        </row>
        <row r="84">
          <cell r="A84">
            <v>2017</v>
          </cell>
          <cell r="B84">
            <v>200000</v>
          </cell>
        </row>
        <row r="85">
          <cell r="A85">
            <v>2018</v>
          </cell>
          <cell r="B85">
            <v>200000</v>
          </cell>
        </row>
        <row r="86">
          <cell r="A86">
            <v>2019</v>
          </cell>
          <cell r="B86">
            <v>200000</v>
          </cell>
        </row>
        <row r="87">
          <cell r="A87">
            <v>2020</v>
          </cell>
          <cell r="B87">
            <v>200000</v>
          </cell>
        </row>
        <row r="88">
          <cell r="A88">
            <v>2021</v>
          </cell>
          <cell r="B88">
            <v>200000</v>
          </cell>
        </row>
        <row r="89">
          <cell r="A89">
            <v>2022</v>
          </cell>
          <cell r="B89">
            <v>200000</v>
          </cell>
        </row>
        <row r="90">
          <cell r="A90">
            <v>2023</v>
          </cell>
          <cell r="B90">
            <v>200000</v>
          </cell>
        </row>
        <row r="91">
          <cell r="A91">
            <v>2024</v>
          </cell>
          <cell r="B91">
            <v>200000</v>
          </cell>
        </row>
        <row r="92">
          <cell r="A92">
            <v>2025</v>
          </cell>
          <cell r="B92">
            <v>200000</v>
          </cell>
        </row>
        <row r="93">
          <cell r="A93">
            <v>2026</v>
          </cell>
          <cell r="B93">
            <v>200000</v>
          </cell>
        </row>
        <row r="94">
          <cell r="A94">
            <v>2027</v>
          </cell>
          <cell r="B94">
            <v>200000</v>
          </cell>
        </row>
        <row r="95">
          <cell r="A95">
            <v>2028</v>
          </cell>
          <cell r="B95">
            <v>200000</v>
          </cell>
        </row>
        <row r="96">
          <cell r="A96">
            <v>2029</v>
          </cell>
          <cell r="B96">
            <v>200000</v>
          </cell>
        </row>
        <row r="97">
          <cell r="A97">
            <v>2030</v>
          </cell>
          <cell r="B97">
            <v>0</v>
          </cell>
        </row>
        <row r="98">
          <cell r="A98">
            <v>2031</v>
          </cell>
          <cell r="B98">
            <v>0</v>
          </cell>
        </row>
        <row r="99">
          <cell r="A99">
            <v>2032</v>
          </cell>
          <cell r="B99">
            <v>0</v>
          </cell>
        </row>
        <row r="100">
          <cell r="A100">
            <v>2033</v>
          </cell>
          <cell r="B100">
            <v>0</v>
          </cell>
        </row>
        <row r="101">
          <cell r="A101">
            <v>2034</v>
          </cell>
          <cell r="B101">
            <v>0</v>
          </cell>
        </row>
        <row r="102">
          <cell r="A102">
            <v>2035</v>
          </cell>
          <cell r="B102">
            <v>0</v>
          </cell>
        </row>
        <row r="103">
          <cell r="A103">
            <v>2036</v>
          </cell>
          <cell r="B103">
            <v>0</v>
          </cell>
        </row>
        <row r="104">
          <cell r="A104">
            <v>2037</v>
          </cell>
          <cell r="B104">
            <v>0</v>
          </cell>
        </row>
        <row r="105">
          <cell r="A105">
            <v>2038</v>
          </cell>
          <cell r="B105">
            <v>0</v>
          </cell>
        </row>
      </sheetData>
      <sheetData sheetId="1">
        <row r="1">
          <cell r="B1">
            <v>2011</v>
          </cell>
        </row>
        <row r="2">
          <cell r="B2">
            <v>2011</v>
          </cell>
        </row>
        <row r="4">
          <cell r="R4">
            <v>1980</v>
          </cell>
          <cell r="S4">
            <v>194</v>
          </cell>
          <cell r="T4">
            <v>1171</v>
          </cell>
          <cell r="U4">
            <v>0.14299999999999999</v>
          </cell>
        </row>
        <row r="5">
          <cell r="B5">
            <v>46661</v>
          </cell>
          <cell r="R5">
            <v>1981</v>
          </cell>
          <cell r="S5">
            <v>211</v>
          </cell>
          <cell r="T5">
            <v>1274</v>
          </cell>
          <cell r="U5">
            <v>0.112</v>
          </cell>
        </row>
        <row r="6">
          <cell r="R6">
            <v>1982</v>
          </cell>
          <cell r="S6">
            <v>230</v>
          </cell>
          <cell r="T6">
            <v>1388</v>
          </cell>
          <cell r="U6">
            <v>7.3999999999999996E-2</v>
          </cell>
        </row>
        <row r="7">
          <cell r="B7">
            <v>1987</v>
          </cell>
          <cell r="R7">
            <v>1983</v>
          </cell>
          <cell r="S7">
            <v>254</v>
          </cell>
          <cell r="T7">
            <v>1528</v>
          </cell>
          <cell r="U7">
            <v>3.5000000000000003E-2</v>
          </cell>
        </row>
        <row r="8">
          <cell r="R8">
            <v>1984</v>
          </cell>
          <cell r="S8">
            <v>267</v>
          </cell>
          <cell r="T8">
            <v>1612</v>
          </cell>
          <cell r="U8">
            <v>3.5000000000000003E-2</v>
          </cell>
        </row>
        <row r="9">
          <cell r="B9">
            <v>35</v>
          </cell>
          <cell r="R9">
            <v>1985</v>
          </cell>
          <cell r="S9">
            <v>280</v>
          </cell>
          <cell r="T9">
            <v>1691</v>
          </cell>
          <cell r="U9">
            <v>3.1E-2</v>
          </cell>
        </row>
        <row r="10">
          <cell r="B10">
            <v>67</v>
          </cell>
          <cell r="R10">
            <v>1986</v>
          </cell>
          <cell r="S10">
            <v>297</v>
          </cell>
          <cell r="T10">
            <v>1790</v>
          </cell>
          <cell r="U10">
            <v>1.2999999999999999E-2</v>
          </cell>
        </row>
        <row r="11">
          <cell r="R11">
            <v>1987</v>
          </cell>
          <cell r="S11">
            <v>310</v>
          </cell>
          <cell r="T11">
            <v>1866</v>
          </cell>
          <cell r="U11">
            <v>4.2000000000000003E-2</v>
          </cell>
        </row>
        <row r="12">
          <cell r="R12">
            <v>1988</v>
          </cell>
          <cell r="S12">
            <v>319</v>
          </cell>
          <cell r="T12">
            <v>1922</v>
          </cell>
          <cell r="U12">
            <v>0.04</v>
          </cell>
        </row>
        <row r="13">
          <cell r="R13">
            <v>1989</v>
          </cell>
          <cell r="S13">
            <v>339</v>
          </cell>
          <cell r="T13">
            <v>2044</v>
          </cell>
          <cell r="U13">
            <v>4.7E-2</v>
          </cell>
        </row>
        <row r="14">
          <cell r="R14">
            <v>1990</v>
          </cell>
          <cell r="S14">
            <v>356</v>
          </cell>
          <cell r="T14">
            <v>2145</v>
          </cell>
          <cell r="U14">
            <v>5.3999999999999999E-2</v>
          </cell>
        </row>
        <row r="15">
          <cell r="R15">
            <v>1991</v>
          </cell>
          <cell r="S15">
            <v>370</v>
          </cell>
          <cell r="T15">
            <v>2230</v>
          </cell>
          <cell r="U15">
            <v>3.6999999999999998E-2</v>
          </cell>
        </row>
        <row r="16">
          <cell r="R16">
            <v>1992</v>
          </cell>
          <cell r="S16">
            <v>387</v>
          </cell>
          <cell r="T16">
            <v>2333</v>
          </cell>
          <cell r="U16">
            <v>0.03</v>
          </cell>
        </row>
        <row r="17">
          <cell r="R17">
            <v>1993</v>
          </cell>
          <cell r="S17">
            <v>401</v>
          </cell>
          <cell r="T17">
            <v>2420</v>
          </cell>
          <cell r="U17">
            <v>2.5999999999999999E-2</v>
          </cell>
        </row>
        <row r="18">
          <cell r="R18">
            <v>1994</v>
          </cell>
          <cell r="S18">
            <v>422</v>
          </cell>
          <cell r="T18">
            <v>2545</v>
          </cell>
          <cell r="U18">
            <v>2.8000000000000001E-2</v>
          </cell>
        </row>
        <row r="19">
          <cell r="P19">
            <v>1918</v>
          </cell>
          <cell r="Q19">
            <v>0.03</v>
          </cell>
          <cell r="R19">
            <v>1995</v>
          </cell>
          <cell r="S19">
            <v>426</v>
          </cell>
          <cell r="T19">
            <v>2567</v>
          </cell>
          <cell r="U19">
            <v>2.5999999999999999E-2</v>
          </cell>
        </row>
        <row r="20">
          <cell r="P20">
            <v>1919</v>
          </cell>
          <cell r="Q20">
            <v>0.03</v>
          </cell>
          <cell r="R20">
            <v>1996</v>
          </cell>
          <cell r="S20">
            <v>437</v>
          </cell>
          <cell r="T20">
            <v>2635</v>
          </cell>
          <cell r="U20">
            <v>2.9000000000000001E-2</v>
          </cell>
        </row>
        <row r="21">
          <cell r="P21">
            <v>1920</v>
          </cell>
          <cell r="Q21">
            <v>0.03</v>
          </cell>
          <cell r="R21">
            <v>1997</v>
          </cell>
          <cell r="S21">
            <v>455</v>
          </cell>
          <cell r="T21">
            <v>2741</v>
          </cell>
          <cell r="U21">
            <v>2.1000000000000001E-2</v>
          </cell>
        </row>
        <row r="22">
          <cell r="P22">
            <v>1921</v>
          </cell>
          <cell r="Q22">
            <v>0.03</v>
          </cell>
          <cell r="R22">
            <v>1998</v>
          </cell>
          <cell r="S22">
            <v>477</v>
          </cell>
          <cell r="T22">
            <v>2875</v>
          </cell>
          <cell r="U22">
            <v>1.2999999999999999E-2</v>
          </cell>
        </row>
        <row r="23">
          <cell r="P23">
            <v>1922</v>
          </cell>
          <cell r="Q23">
            <v>0.03</v>
          </cell>
          <cell r="R23">
            <v>1999</v>
          </cell>
          <cell r="S23">
            <v>505</v>
          </cell>
          <cell r="T23">
            <v>3043</v>
          </cell>
          <cell r="U23">
            <v>2.4E-2</v>
          </cell>
        </row>
        <row r="24">
          <cell r="P24">
            <v>1923</v>
          </cell>
          <cell r="Q24">
            <v>0.03</v>
          </cell>
          <cell r="R24">
            <v>2000</v>
          </cell>
          <cell r="S24">
            <v>531</v>
          </cell>
          <cell r="T24">
            <v>3202</v>
          </cell>
          <cell r="U24">
            <v>3.5000000000000003E-2</v>
          </cell>
        </row>
        <row r="25">
          <cell r="P25">
            <v>1924</v>
          </cell>
          <cell r="Q25">
            <v>0.03</v>
          </cell>
          <cell r="R25">
            <v>2001</v>
          </cell>
          <cell r="S25">
            <v>561</v>
          </cell>
          <cell r="T25">
            <v>3381</v>
          </cell>
          <cell r="U25">
            <v>2.5999999999999999E-2</v>
          </cell>
        </row>
        <row r="26">
          <cell r="P26">
            <v>1925</v>
          </cell>
          <cell r="Q26">
            <v>3.5000000000000003E-2</v>
          </cell>
          <cell r="R26">
            <v>2002</v>
          </cell>
          <cell r="S26">
            <v>592</v>
          </cell>
          <cell r="T26">
            <v>3567</v>
          </cell>
          <cell r="U26">
            <v>1.4E-2</v>
          </cell>
        </row>
        <row r="27">
          <cell r="P27">
            <v>1926</v>
          </cell>
          <cell r="Q27">
            <v>3.5000000000000003E-2</v>
          </cell>
          <cell r="R27">
            <v>2003</v>
          </cell>
          <cell r="S27">
            <v>606</v>
          </cell>
          <cell r="T27">
            <v>3653</v>
          </cell>
          <cell r="U27">
            <v>2.1000000000000001E-2</v>
          </cell>
        </row>
        <row r="28">
          <cell r="P28">
            <v>1927</v>
          </cell>
          <cell r="Q28">
            <v>0.04</v>
          </cell>
          <cell r="R28">
            <v>2004</v>
          </cell>
          <cell r="S28">
            <v>612</v>
          </cell>
          <cell r="T28">
            <v>3689</v>
          </cell>
          <cell r="U28">
            <v>2.7E-2</v>
          </cell>
        </row>
        <row r="29">
          <cell r="P29">
            <v>1928</v>
          </cell>
          <cell r="Q29">
            <v>0.04</v>
          </cell>
          <cell r="R29">
            <v>2005</v>
          </cell>
          <cell r="S29">
            <v>627</v>
          </cell>
          <cell r="T29">
            <v>3779</v>
          </cell>
          <cell r="U29">
            <v>4.1000000000000002E-2</v>
          </cell>
        </row>
        <row r="30">
          <cell r="P30">
            <v>1929</v>
          </cell>
          <cell r="Q30">
            <v>4.4999999999999998E-2</v>
          </cell>
          <cell r="R30">
            <v>2006</v>
          </cell>
          <cell r="S30">
            <v>656</v>
          </cell>
          <cell r="T30">
            <v>3955</v>
          </cell>
          <cell r="U30">
            <v>3.3000000000000002E-2</v>
          </cell>
        </row>
        <row r="31">
          <cell r="P31">
            <v>1930</v>
          </cell>
          <cell r="Q31">
            <v>4.4999999999999998E-2</v>
          </cell>
          <cell r="R31">
            <v>2007</v>
          </cell>
          <cell r="S31">
            <v>680</v>
          </cell>
          <cell r="T31">
            <v>4100</v>
          </cell>
          <cell r="U31">
            <v>2.3E-2</v>
          </cell>
        </row>
        <row r="32">
          <cell r="P32">
            <v>1931</v>
          </cell>
          <cell r="Q32">
            <v>0.05</v>
          </cell>
          <cell r="R32">
            <v>2008</v>
          </cell>
          <cell r="S32">
            <v>711</v>
          </cell>
          <cell r="T32">
            <v>4288</v>
          </cell>
          <cell r="U32">
            <v>5.8000000000000003E-2</v>
          </cell>
        </row>
        <row r="33">
          <cell r="P33">
            <v>1932</v>
          </cell>
          <cell r="Q33">
            <v>0.05</v>
          </cell>
          <cell r="R33">
            <v>2009</v>
          </cell>
          <cell r="S33">
            <v>744</v>
          </cell>
          <cell r="T33">
            <v>4483</v>
          </cell>
          <cell r="U33">
            <v>0</v>
          </cell>
        </row>
        <row r="34">
          <cell r="P34">
            <v>1933</v>
          </cell>
          <cell r="Q34">
            <v>5.5E-2</v>
          </cell>
          <cell r="R34">
            <v>2010</v>
          </cell>
          <cell r="S34">
            <v>761</v>
          </cell>
          <cell r="T34">
            <v>4586</v>
          </cell>
          <cell r="U34">
            <v>0</v>
          </cell>
        </row>
        <row r="35">
          <cell r="P35">
            <v>1934</v>
          </cell>
          <cell r="Q35">
            <v>5.5E-2</v>
          </cell>
          <cell r="R35">
            <v>2011</v>
          </cell>
          <cell r="S35">
            <v>749</v>
          </cell>
          <cell r="T35">
            <v>4517</v>
          </cell>
        </row>
        <row r="36">
          <cell r="P36">
            <v>1935</v>
          </cell>
          <cell r="Q36">
            <v>0.06</v>
          </cell>
        </row>
        <row r="37">
          <cell r="P37">
            <v>1936</v>
          </cell>
          <cell r="Q37">
            <v>0.06</v>
          </cell>
        </row>
        <row r="38">
          <cell r="P38">
            <v>1937</v>
          </cell>
          <cell r="Q38">
            <v>6.5000000000000002E-2</v>
          </cell>
        </row>
        <row r="39">
          <cell r="P39">
            <v>1938</v>
          </cell>
          <cell r="Q39">
            <v>6.5000000000000002E-2</v>
          </cell>
        </row>
        <row r="40">
          <cell r="P40">
            <v>1939</v>
          </cell>
          <cell r="Q40">
            <v>7.0000000000000007E-2</v>
          </cell>
        </row>
        <row r="41">
          <cell r="P41">
            <v>1940</v>
          </cell>
          <cell r="Q41">
            <v>7.0000000000000007E-2</v>
          </cell>
        </row>
        <row r="42">
          <cell r="P42">
            <v>1941</v>
          </cell>
          <cell r="Q42">
            <v>7.4999999999999997E-2</v>
          </cell>
        </row>
        <row r="43">
          <cell r="P43">
            <v>1942</v>
          </cell>
          <cell r="Q43">
            <v>7.4999999999999997E-2</v>
          </cell>
        </row>
        <row r="44">
          <cell r="P44">
            <v>1943</v>
          </cell>
          <cell r="Q44">
            <v>0.08</v>
          </cell>
        </row>
        <row r="45">
          <cell r="P45">
            <v>1944</v>
          </cell>
          <cell r="Q45">
            <v>0.08</v>
          </cell>
        </row>
        <row r="46">
          <cell r="P46">
            <v>1945</v>
          </cell>
          <cell r="Q46">
            <v>0.08</v>
          </cell>
        </row>
        <row r="47">
          <cell r="P47">
            <v>1946</v>
          </cell>
          <cell r="Q47">
            <v>0.08</v>
          </cell>
        </row>
        <row r="48">
          <cell r="P48">
            <v>1947</v>
          </cell>
          <cell r="Q48">
            <v>0.08</v>
          </cell>
        </row>
        <row r="49">
          <cell r="P49">
            <v>1948</v>
          </cell>
          <cell r="Q49">
            <v>0.08</v>
          </cell>
        </row>
        <row r="50">
          <cell r="P50">
            <v>1949</v>
          </cell>
          <cell r="Q50">
            <v>0.08</v>
          </cell>
        </row>
        <row r="51">
          <cell r="P51">
            <v>1950</v>
          </cell>
          <cell r="Q51">
            <v>0.08</v>
          </cell>
        </row>
        <row r="52">
          <cell r="P52">
            <v>1951</v>
          </cell>
          <cell r="Q52">
            <v>0.08</v>
          </cell>
        </row>
        <row r="53">
          <cell r="P53">
            <v>1952</v>
          </cell>
          <cell r="Q53">
            <v>0.08</v>
          </cell>
        </row>
        <row r="54">
          <cell r="P54">
            <v>1953</v>
          </cell>
          <cell r="Q54">
            <v>0.08</v>
          </cell>
        </row>
        <row r="55">
          <cell r="P55">
            <v>1954</v>
          </cell>
          <cell r="Q55">
            <v>0.08</v>
          </cell>
        </row>
        <row r="56">
          <cell r="P56">
            <v>1955</v>
          </cell>
          <cell r="Q56">
            <v>0.08</v>
          </cell>
        </row>
        <row r="57">
          <cell r="P57">
            <v>1956</v>
          </cell>
          <cell r="Q57">
            <v>0.08</v>
          </cell>
        </row>
        <row r="58">
          <cell r="P58">
            <v>1957</v>
          </cell>
          <cell r="Q58">
            <v>0.08</v>
          </cell>
        </row>
        <row r="59">
          <cell r="P59">
            <v>1958</v>
          </cell>
          <cell r="Q59">
            <v>0.08</v>
          </cell>
        </row>
        <row r="60">
          <cell r="P60">
            <v>1959</v>
          </cell>
          <cell r="Q60">
            <v>0.08</v>
          </cell>
        </row>
        <row r="61">
          <cell r="P61">
            <v>1960</v>
          </cell>
          <cell r="Q61">
            <v>0.08</v>
          </cell>
        </row>
        <row r="62">
          <cell r="P62">
            <v>1961</v>
          </cell>
          <cell r="Q62">
            <v>0.08</v>
          </cell>
        </row>
        <row r="63">
          <cell r="P63">
            <v>1962</v>
          </cell>
          <cell r="Q63">
            <v>0.08</v>
          </cell>
        </row>
        <row r="64">
          <cell r="P64">
            <v>1963</v>
          </cell>
          <cell r="Q64">
            <v>0.08</v>
          </cell>
        </row>
        <row r="65">
          <cell r="P65">
            <v>1964</v>
          </cell>
          <cell r="Q65">
            <v>0.08</v>
          </cell>
        </row>
        <row r="66">
          <cell r="P66">
            <v>1965</v>
          </cell>
          <cell r="Q66">
            <v>0.08</v>
          </cell>
        </row>
        <row r="67">
          <cell r="P67">
            <v>1966</v>
          </cell>
          <cell r="Q67">
            <v>0.08</v>
          </cell>
        </row>
        <row r="68">
          <cell r="P68">
            <v>1967</v>
          </cell>
          <cell r="Q68">
            <v>0.08</v>
          </cell>
        </row>
        <row r="69">
          <cell r="P69">
            <v>1968</v>
          </cell>
          <cell r="Q69">
            <v>0.08</v>
          </cell>
        </row>
        <row r="70">
          <cell r="P70">
            <v>1969</v>
          </cell>
          <cell r="Q70">
            <v>0.08</v>
          </cell>
        </row>
        <row r="71">
          <cell r="P71">
            <v>1970</v>
          </cell>
          <cell r="Q71">
            <v>0.08</v>
          </cell>
        </row>
        <row r="72">
          <cell r="P72">
            <v>1971</v>
          </cell>
          <cell r="Q72">
            <v>0.08</v>
          </cell>
        </row>
        <row r="73">
          <cell r="P73">
            <v>1972</v>
          </cell>
          <cell r="Q73">
            <v>0.08</v>
          </cell>
        </row>
        <row r="74">
          <cell r="P74">
            <v>1973</v>
          </cell>
          <cell r="Q74">
            <v>0.08</v>
          </cell>
        </row>
        <row r="75">
          <cell r="P75">
            <v>1974</v>
          </cell>
          <cell r="Q75">
            <v>0.08</v>
          </cell>
        </row>
        <row r="76">
          <cell r="P76">
            <v>1975</v>
          </cell>
          <cell r="Q76">
            <v>0.08</v>
          </cell>
        </row>
        <row r="77">
          <cell r="P77">
            <v>1976</v>
          </cell>
          <cell r="Q77">
            <v>0.08</v>
          </cell>
        </row>
        <row r="78">
          <cell r="P78">
            <v>1977</v>
          </cell>
          <cell r="Q78">
            <v>0.08</v>
          </cell>
        </row>
        <row r="79">
          <cell r="P79">
            <v>1978</v>
          </cell>
          <cell r="Q79">
            <v>0.08</v>
          </cell>
        </row>
        <row r="80">
          <cell r="P80">
            <v>1979</v>
          </cell>
          <cell r="Q80">
            <v>0.08</v>
          </cell>
        </row>
        <row r="81">
          <cell r="P81">
            <v>1980</v>
          </cell>
          <cell r="Q81">
            <v>0.08</v>
          </cell>
        </row>
        <row r="82">
          <cell r="P82">
            <v>1981</v>
          </cell>
          <cell r="Q82">
            <v>0.08</v>
          </cell>
        </row>
        <row r="83">
          <cell r="P83">
            <v>1982</v>
          </cell>
          <cell r="Q83">
            <v>0.08</v>
          </cell>
        </row>
        <row r="84">
          <cell r="P84">
            <v>1983</v>
          </cell>
          <cell r="Q84">
            <v>0.08</v>
          </cell>
        </row>
        <row r="85">
          <cell r="P85">
            <v>1984</v>
          </cell>
          <cell r="Q85">
            <v>0.08</v>
          </cell>
        </row>
        <row r="86">
          <cell r="P86">
            <v>1985</v>
          </cell>
          <cell r="Q86">
            <v>0.08</v>
          </cell>
        </row>
        <row r="88">
          <cell r="P88">
            <v>1900</v>
          </cell>
          <cell r="Q88">
            <v>65</v>
          </cell>
          <cell r="R88">
            <v>0</v>
          </cell>
        </row>
        <row r="89">
          <cell r="P89">
            <v>1937</v>
          </cell>
          <cell r="Q89">
            <v>65</v>
          </cell>
          <cell r="R89">
            <v>0</v>
          </cell>
        </row>
        <row r="90">
          <cell r="P90">
            <v>1938</v>
          </cell>
          <cell r="Q90">
            <v>65</v>
          </cell>
          <cell r="R90">
            <v>2</v>
          </cell>
        </row>
        <row r="91">
          <cell r="P91">
            <v>1939</v>
          </cell>
          <cell r="Q91">
            <v>65</v>
          </cell>
          <cell r="R91">
            <v>4</v>
          </cell>
        </row>
        <row r="92">
          <cell r="P92">
            <v>1940</v>
          </cell>
          <cell r="Q92">
            <v>65</v>
          </cell>
          <cell r="R92">
            <v>6</v>
          </cell>
        </row>
        <row r="93">
          <cell r="P93">
            <v>1941</v>
          </cell>
          <cell r="Q93">
            <v>65</v>
          </cell>
          <cell r="R93">
            <v>8</v>
          </cell>
        </row>
        <row r="94">
          <cell r="P94">
            <v>1942</v>
          </cell>
          <cell r="Q94">
            <v>65</v>
          </cell>
          <cell r="R94">
            <v>10</v>
          </cell>
        </row>
        <row r="95">
          <cell r="P95">
            <v>1943</v>
          </cell>
          <cell r="Q95">
            <v>66</v>
          </cell>
          <cell r="R95">
            <v>0</v>
          </cell>
        </row>
        <row r="96">
          <cell r="P96">
            <v>1944</v>
          </cell>
          <cell r="Q96">
            <v>66</v>
          </cell>
          <cell r="R96">
            <v>0</v>
          </cell>
        </row>
        <row r="97">
          <cell r="P97">
            <v>1945</v>
          </cell>
          <cell r="Q97">
            <v>66</v>
          </cell>
          <cell r="R97">
            <v>0</v>
          </cell>
        </row>
        <row r="98">
          <cell r="P98">
            <v>1946</v>
          </cell>
          <cell r="Q98">
            <v>66</v>
          </cell>
          <cell r="R98">
            <v>0</v>
          </cell>
        </row>
        <row r="99">
          <cell r="P99">
            <v>1947</v>
          </cell>
          <cell r="Q99">
            <v>66</v>
          </cell>
          <cell r="R99">
            <v>0</v>
          </cell>
        </row>
        <row r="100">
          <cell r="P100">
            <v>1948</v>
          </cell>
          <cell r="Q100">
            <v>66</v>
          </cell>
          <cell r="R100">
            <v>0</v>
          </cell>
        </row>
        <row r="101">
          <cell r="P101">
            <v>1949</v>
          </cell>
          <cell r="Q101">
            <v>66</v>
          </cell>
          <cell r="R101">
            <v>0</v>
          </cell>
        </row>
        <row r="102">
          <cell r="P102">
            <v>1950</v>
          </cell>
          <cell r="Q102">
            <v>66</v>
          </cell>
          <cell r="R102">
            <v>0</v>
          </cell>
        </row>
        <row r="103">
          <cell r="P103">
            <v>1951</v>
          </cell>
          <cell r="Q103">
            <v>66</v>
          </cell>
          <cell r="R103">
            <v>0</v>
          </cell>
        </row>
        <row r="104">
          <cell r="P104">
            <v>1952</v>
          </cell>
          <cell r="Q104">
            <v>66</v>
          </cell>
          <cell r="R104">
            <v>0</v>
          </cell>
        </row>
        <row r="105">
          <cell r="P105">
            <v>1953</v>
          </cell>
          <cell r="Q105">
            <v>66</v>
          </cell>
          <cell r="R105">
            <v>0</v>
          </cell>
        </row>
        <row r="106">
          <cell r="P106">
            <v>1954</v>
          </cell>
          <cell r="Q106">
            <v>66</v>
          </cell>
          <cell r="R106">
            <v>0</v>
          </cell>
        </row>
        <row r="107">
          <cell r="P107">
            <v>1955</v>
          </cell>
          <cell r="Q107">
            <v>66</v>
          </cell>
          <cell r="R107">
            <v>2</v>
          </cell>
        </row>
        <row r="108">
          <cell r="P108">
            <v>1956</v>
          </cell>
          <cell r="Q108">
            <v>66</v>
          </cell>
          <cell r="R108">
            <v>4</v>
          </cell>
        </row>
        <row r="109">
          <cell r="P109">
            <v>1957</v>
          </cell>
          <cell r="Q109">
            <v>66</v>
          </cell>
          <cell r="R109">
            <v>6</v>
          </cell>
        </row>
        <row r="110">
          <cell r="P110">
            <v>1958</v>
          </cell>
          <cell r="Q110">
            <v>66</v>
          </cell>
          <cell r="R110">
            <v>8</v>
          </cell>
        </row>
        <row r="111">
          <cell r="P111">
            <v>1959</v>
          </cell>
          <cell r="Q111">
            <v>66</v>
          </cell>
          <cell r="R111">
            <v>10</v>
          </cell>
        </row>
        <row r="112">
          <cell r="P112">
            <v>1960</v>
          </cell>
          <cell r="Q112">
            <v>67</v>
          </cell>
          <cell r="R112">
            <v>0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%5EGSPC/history?period1=-631134000&amp;period2=1552622400&amp;interval=1mo&amp;filter=history&amp;frequency=1mo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sa.gov/policy/docs/ssb/v69n3/v69n3p1.html" TargetMode="External"/><Relationship Id="rId3" Type="http://schemas.openxmlformats.org/officeDocument/2006/relationships/hyperlink" Target="https://stats.bls.gov/opub/mlr/2002/05/art3full.pdf" TargetMode="External"/><Relationship Id="rId7" Type="http://schemas.openxmlformats.org/officeDocument/2006/relationships/hyperlink" Target="https://www.ncbi.nlm.nih.gov/pmc/articles/PMC2972552/" TargetMode="External"/><Relationship Id="rId2" Type="http://schemas.openxmlformats.org/officeDocument/2006/relationships/hyperlink" Target="https://www.soa.org/Files/Research/Projects/research-2016-lump-sum-mrd.pdf" TargetMode="External"/><Relationship Id="rId1" Type="http://schemas.openxmlformats.org/officeDocument/2006/relationships/hyperlink" Target="https://www.investopedia.com/articles/retirement/05/lumpsumpension.asp" TargetMode="External"/><Relationship Id="rId6" Type="http://schemas.openxmlformats.org/officeDocument/2006/relationships/hyperlink" Target="http://crr.bc.edu/wp-content/uploads/2015/12/IB_15-211.pdf" TargetMode="External"/><Relationship Id="rId5" Type="http://schemas.openxmlformats.org/officeDocument/2006/relationships/hyperlink" Target="http://www.fightforamericanjobs.org/PensionReviewBoard-ReviewofDBandDCPlans.pdf" TargetMode="External"/><Relationship Id="rId4" Type="http://schemas.openxmlformats.org/officeDocument/2006/relationships/hyperlink" Target="http://s3.amazonaws.com/presspublisher-do/upload/567/Mottola_DB_annuity_report.pdf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1"/>
  <sheetViews>
    <sheetView zoomScale="89" zoomScaleNormal="89" workbookViewId="0">
      <selection activeCell="B16" sqref="B16"/>
    </sheetView>
  </sheetViews>
  <sheetFormatPr defaultRowHeight="15"/>
  <cols>
    <col min="1" max="1" width="30.28515625" customWidth="1"/>
    <col min="2" max="2" width="18.5703125" customWidth="1"/>
    <col min="3" max="3" width="16.42578125" customWidth="1"/>
    <col min="4" max="4" width="15.42578125" customWidth="1"/>
    <col min="5" max="5" width="10.42578125" customWidth="1"/>
    <col min="6" max="6" width="12.7109375" customWidth="1"/>
    <col min="7" max="7" width="17.7109375" customWidth="1"/>
    <col min="8" max="8" width="9.7109375" customWidth="1"/>
    <col min="9" max="9" width="5.42578125" customWidth="1"/>
    <col min="10" max="10" width="13.42578125" bestFit="1" customWidth="1"/>
    <col min="11" max="11" width="11.5703125" bestFit="1" customWidth="1"/>
    <col min="12" max="12" width="18.5703125" customWidth="1"/>
    <col min="13" max="13" width="16.28515625" customWidth="1"/>
    <col min="14" max="14" width="14.28515625" customWidth="1"/>
  </cols>
  <sheetData>
    <row r="1" spans="1:14">
      <c r="A1" s="2" t="s">
        <v>26</v>
      </c>
    </row>
    <row r="3" spans="1:14">
      <c r="A3" s="2" t="s">
        <v>0</v>
      </c>
      <c r="B3" s="77">
        <v>0.04</v>
      </c>
      <c r="C3" s="2" t="s">
        <v>77</v>
      </c>
      <c r="D3" s="77">
        <v>0.09</v>
      </c>
      <c r="J3" s="2" t="s">
        <v>17</v>
      </c>
      <c r="N3" s="2" t="s">
        <v>19</v>
      </c>
    </row>
    <row r="4" spans="1:14">
      <c r="A4" s="2" t="s">
        <v>1</v>
      </c>
      <c r="B4" s="77">
        <v>0</v>
      </c>
      <c r="D4" s="77"/>
      <c r="N4" s="2"/>
    </row>
    <row r="5" spans="1:14">
      <c r="A5" s="2"/>
      <c r="B5" s="77"/>
      <c r="D5" s="77"/>
      <c r="J5" t="s">
        <v>2</v>
      </c>
      <c r="K5" t="s">
        <v>15</v>
      </c>
      <c r="L5" t="s">
        <v>16</v>
      </c>
      <c r="M5" t="s">
        <v>70</v>
      </c>
      <c r="N5" s="32">
        <f>AVERAGE(J31:J35)*30*B29*D34</f>
        <v>912441.51598197897</v>
      </c>
    </row>
    <row r="6" spans="1:14">
      <c r="A6" s="2" t="s">
        <v>2</v>
      </c>
      <c r="B6" s="77">
        <v>50000</v>
      </c>
      <c r="D6" s="77"/>
      <c r="I6">
        <v>25</v>
      </c>
      <c r="J6" s="31">
        <f>B6</f>
        <v>50000</v>
      </c>
      <c r="K6" s="1">
        <f>$B$3*J6</f>
        <v>2000</v>
      </c>
      <c r="L6" s="1">
        <f>K6*(1+$B$10)^(64-I6)</f>
        <v>36094.615870558344</v>
      </c>
      <c r="M6" s="39">
        <f>K6</f>
        <v>2000</v>
      </c>
    </row>
    <row r="7" spans="1:14">
      <c r="A7" s="2" t="s">
        <v>5</v>
      </c>
      <c r="B7" s="77">
        <v>4.24E-2</v>
      </c>
      <c r="D7" s="77">
        <v>0.03</v>
      </c>
      <c r="I7">
        <f>I6+1</f>
        <v>26</v>
      </c>
      <c r="J7" s="31">
        <f>J6*(1+$B$7)</f>
        <v>52120</v>
      </c>
      <c r="K7" s="1">
        <f>$B$3*J7</f>
        <v>2084.8000000000002</v>
      </c>
      <c r="L7" s="1">
        <f t="shared" ref="L7:L45" si="0">K7*(1+$B$10)^(64-I7)</f>
        <v>34935.03025391831</v>
      </c>
      <c r="M7" s="39">
        <f>M6*(1+$B$10)+K7</f>
        <v>4238.8</v>
      </c>
    </row>
    <row r="8" spans="1:14">
      <c r="A8" s="2" t="s">
        <v>81</v>
      </c>
      <c r="B8" s="86">
        <f>(1+B7)/(1+B10)</f>
        <v>0.96787372330547816</v>
      </c>
      <c r="D8" s="87">
        <f>(1+D7)/(1+D10)</f>
        <v>1</v>
      </c>
      <c r="I8">
        <f t="shared" ref="I8:I45" si="1">I7+1</f>
        <v>27</v>
      </c>
      <c r="J8" s="31">
        <f t="shared" ref="J8:J45" si="2">J7*(1+$B$7)</f>
        <v>54329.887999999999</v>
      </c>
      <c r="K8" s="1">
        <f t="shared" ref="K8:K35" si="3">$B$3*J8</f>
        <v>2173.1955200000002</v>
      </c>
      <c r="L8" s="1">
        <f t="shared" si="0"/>
        <v>33812.697805649441</v>
      </c>
      <c r="M8" s="39">
        <f t="shared" ref="M8:M45" si="4">M7*(1+$B$10)+K8</f>
        <v>6738.3831200000004</v>
      </c>
    </row>
    <row r="9" spans="1:14">
      <c r="A9" s="2"/>
      <c r="B9" s="77"/>
      <c r="D9" s="88"/>
      <c r="I9">
        <f t="shared" si="1"/>
        <v>28</v>
      </c>
      <c r="J9" s="31">
        <f t="shared" si="2"/>
        <v>56633.475251199998</v>
      </c>
      <c r="K9" s="1">
        <f t="shared" si="3"/>
        <v>2265.3390100480001</v>
      </c>
      <c r="L9" s="1">
        <f t="shared" si="0"/>
        <v>32726.42172015689</v>
      </c>
      <c r="M9" s="39">
        <f t="shared" si="4"/>
        <v>9522.5776302880004</v>
      </c>
    </row>
    <row r="10" spans="1:14">
      <c r="A10" s="2" t="s">
        <v>4</v>
      </c>
      <c r="B10" s="77">
        <v>7.6999999999999999E-2</v>
      </c>
      <c r="C10" s="2" t="s">
        <v>78</v>
      </c>
      <c r="D10" s="77">
        <v>0.03</v>
      </c>
      <c r="I10">
        <f t="shared" si="1"/>
        <v>29</v>
      </c>
      <c r="J10" s="31">
        <f t="shared" si="2"/>
        <v>59034.734601850876</v>
      </c>
      <c r="K10" s="1">
        <f t="shared" si="3"/>
        <v>2361.3893840740352</v>
      </c>
      <c r="L10" s="1">
        <f t="shared" si="0"/>
        <v>31675.043640753524</v>
      </c>
      <c r="M10" s="39">
        <f t="shared" si="4"/>
        <v>12617.20549189421</v>
      </c>
      <c r="N10" s="40"/>
    </row>
    <row r="11" spans="1:14">
      <c r="I11">
        <f t="shared" si="1"/>
        <v>30</v>
      </c>
      <c r="J11" s="31">
        <f t="shared" si="2"/>
        <v>61537.807348969356</v>
      </c>
      <c r="K11" s="1">
        <f t="shared" si="3"/>
        <v>2461.5122939587741</v>
      </c>
      <c r="L11" s="1">
        <f t="shared" si="0"/>
        <v>30657.442424439618</v>
      </c>
      <c r="M11" s="39">
        <f t="shared" si="4"/>
        <v>16050.242608728839</v>
      </c>
    </row>
    <row r="12" spans="1:14">
      <c r="A12" s="79" t="s">
        <v>21</v>
      </c>
      <c r="B12" s="2"/>
      <c r="I12">
        <f t="shared" si="1"/>
        <v>31</v>
      </c>
      <c r="J12" s="31">
        <f t="shared" si="2"/>
        <v>64147.010380565654</v>
      </c>
      <c r="K12" s="1">
        <f t="shared" si="3"/>
        <v>2565.8804152226262</v>
      </c>
      <c r="L12" s="1">
        <f t="shared" si="0"/>
        <v>29672.532946365696</v>
      </c>
      <c r="M12" s="39">
        <f t="shared" si="4"/>
        <v>19851.991704823584</v>
      </c>
    </row>
    <row r="13" spans="1:14">
      <c r="A13" s="76"/>
      <c r="I13">
        <f t="shared" si="1"/>
        <v>32</v>
      </c>
      <c r="J13" s="31">
        <f t="shared" si="2"/>
        <v>66866.843620701635</v>
      </c>
      <c r="K13" s="1">
        <f t="shared" si="3"/>
        <v>2674.6737448280655</v>
      </c>
      <c r="L13" s="1">
        <f t="shared" si="0"/>
        <v>28719.264942703438</v>
      </c>
      <c r="M13" s="39">
        <f t="shared" si="4"/>
        <v>24055.268810923066</v>
      </c>
    </row>
    <row r="14" spans="1:14">
      <c r="A14" s="76" t="s">
        <v>14</v>
      </c>
      <c r="B14" s="8">
        <v>25</v>
      </c>
      <c r="C14" s="2"/>
      <c r="E14" s="3"/>
      <c r="F14" s="3"/>
      <c r="G14" s="3"/>
      <c r="H14" s="3"/>
      <c r="I14">
        <f t="shared" si="1"/>
        <v>33</v>
      </c>
      <c r="J14" s="31">
        <f t="shared" si="2"/>
        <v>69701.997790219379</v>
      </c>
      <c r="K14" s="1">
        <f t="shared" si="3"/>
        <v>2788.0799116087751</v>
      </c>
      <c r="L14" s="1">
        <f t="shared" si="0"/>
        <v>27796.621890690865</v>
      </c>
      <c r="M14" s="39">
        <f t="shared" si="4"/>
        <v>28695.604420972919</v>
      </c>
    </row>
    <row r="15" spans="1:14">
      <c r="A15" s="2" t="s">
        <v>71</v>
      </c>
      <c r="B15" s="82" t="s">
        <v>72</v>
      </c>
      <c r="C15" s="83" t="s">
        <v>73</v>
      </c>
      <c r="D15" s="8" t="s">
        <v>74</v>
      </c>
      <c r="E15" s="78" t="s">
        <v>11</v>
      </c>
      <c r="G15" s="84" t="s">
        <v>79</v>
      </c>
      <c r="H15" s="2" t="s">
        <v>80</v>
      </c>
      <c r="I15">
        <f t="shared" si="1"/>
        <v>34</v>
      </c>
      <c r="J15" s="31">
        <f t="shared" si="2"/>
        <v>72657.362496524685</v>
      </c>
      <c r="K15" s="1">
        <f t="shared" si="3"/>
        <v>2906.2944998609873</v>
      </c>
      <c r="L15" s="1">
        <f t="shared" si="0"/>
        <v>26903.619924657531</v>
      </c>
      <c r="M15" s="39">
        <f t="shared" si="4"/>
        <v>33811.460461248818</v>
      </c>
    </row>
    <row r="16" spans="1:14">
      <c r="A16" s="2">
        <v>30</v>
      </c>
      <c r="B16" s="31">
        <f t="shared" ref="B16:B25" si="5">$J$6*$B$3*((1-$B$8^($A16-B$14))/(1-$B$8))*((1+$B$10)^($A16-B$14-1))</f>
        <v>12617.205491894221</v>
      </c>
      <c r="C16" s="31">
        <f>B16/D16</f>
        <v>956.35281927242522</v>
      </c>
      <c r="D16" s="9">
        <f>VLOOKUP(A16,'PPA Mortality'!$A$3:$H$123,7,0)</f>
        <v>13.193044698182778</v>
      </c>
      <c r="E16" s="9">
        <f>VLOOKUP(A16,'PPA Mortality'!$A$3:$H$123,8,0)</f>
        <v>0.66255318779625394</v>
      </c>
      <c r="G16" s="31">
        <f>B16*(1+$B$10)^(65-A16)/$D$23</f>
        <v>16352.423873420352</v>
      </c>
      <c r="H16" s="72">
        <f t="shared" ref="H16:H23" si="6">G16/$J$45</f>
        <v>6.4754570355970473E-2</v>
      </c>
      <c r="I16">
        <f t="shared" si="1"/>
        <v>35</v>
      </c>
      <c r="J16" s="31">
        <f t="shared" si="2"/>
        <v>75738.034666377338</v>
      </c>
      <c r="K16" s="1">
        <f t="shared" si="3"/>
        <v>3029.5213866550935</v>
      </c>
      <c r="L16" s="1">
        <f t="shared" si="0"/>
        <v>26039.306786873731</v>
      </c>
      <c r="M16" s="39">
        <f t="shared" si="4"/>
        <v>39444.464303420064</v>
      </c>
    </row>
    <row r="17" spans="1:13">
      <c r="A17" s="2">
        <v>35</v>
      </c>
      <c r="B17" s="31">
        <f t="shared" si="5"/>
        <v>33811.460461248833</v>
      </c>
      <c r="C17" s="31">
        <f t="shared" ref="C17:C25" si="7">B17/D17</f>
        <v>2587.9263781995796</v>
      </c>
      <c r="D17" s="9">
        <f>VLOOKUP(A17,'PPA Mortality'!$A$3:$H$123,7,0)</f>
        <v>13.065078182313465</v>
      </c>
      <c r="E17" s="9">
        <f>VLOOKUP(A17,'PPA Mortality'!$A$3:$H$123,8,0)</f>
        <v>0.97453667823225765</v>
      </c>
      <c r="G17" s="31">
        <f t="shared" ref="G17:G25" si="8">B17*(1+$B$10)^(65-A17)/$D$23</f>
        <v>30241.572748068313</v>
      </c>
      <c r="H17" s="72">
        <f t="shared" si="6"/>
        <v>0.11975472659885164</v>
      </c>
      <c r="I17">
        <f t="shared" si="1"/>
        <v>36</v>
      </c>
      <c r="J17" s="31">
        <f t="shared" si="2"/>
        <v>78949.327336231741</v>
      </c>
      <c r="K17" s="1">
        <f t="shared" si="3"/>
        <v>3157.9730934492695</v>
      </c>
      <c r="L17" s="1">
        <f t="shared" si="0"/>
        <v>25202.760812105083</v>
      </c>
      <c r="M17" s="39">
        <f t="shared" si="4"/>
        <v>45639.661148232677</v>
      </c>
    </row>
    <row r="18" spans="1:13">
      <c r="A18" s="2">
        <v>40</v>
      </c>
      <c r="B18" s="31">
        <f t="shared" si="5"/>
        <v>68105.996041727296</v>
      </c>
      <c r="C18" s="31">
        <f t="shared" si="7"/>
        <v>5286.7748243424139</v>
      </c>
      <c r="D18" s="9">
        <f>VLOOKUP(A18,'PPA Mortality'!$A$3:$H$123,7,0)</f>
        <v>12.882333427204088</v>
      </c>
      <c r="E18" s="9">
        <f>VLOOKUP(A18,'PPA Mortality'!$A$3:$H$123,8,0)</f>
        <v>1.4339462879654665</v>
      </c>
      <c r="G18" s="31">
        <f t="shared" si="8"/>
        <v>42038.506215264795</v>
      </c>
      <c r="H18" s="72">
        <f t="shared" si="6"/>
        <v>0.16646984137935514</v>
      </c>
      <c r="I18">
        <f t="shared" si="1"/>
        <v>37</v>
      </c>
      <c r="J18" s="31">
        <f t="shared" si="2"/>
        <v>82296.778815287966</v>
      </c>
      <c r="K18" s="1">
        <f t="shared" si="3"/>
        <v>3291.8711526115185</v>
      </c>
      <c r="L18" s="1">
        <f t="shared" si="0"/>
        <v>24393.089944789546</v>
      </c>
      <c r="M18" s="39">
        <f t="shared" si="4"/>
        <v>52445.786209258105</v>
      </c>
    </row>
    <row r="19" spans="1:13">
      <c r="A19" s="2">
        <v>45</v>
      </c>
      <c r="B19" s="31">
        <f t="shared" si="5"/>
        <v>122210.15963383732</v>
      </c>
      <c r="C19" s="31">
        <f t="shared" si="7"/>
        <v>9681.9784082719616</v>
      </c>
      <c r="D19" s="9">
        <f>VLOOKUP(A19,'PPA Mortality'!$A$3:$H$123,7,0)</f>
        <v>12.622436704612459</v>
      </c>
      <c r="E19" s="9">
        <f>VLOOKUP(A19,'PPA Mortality'!$A$3:$H$123,8,0)</f>
        <v>2.111230413382692</v>
      </c>
      <c r="G19" s="31">
        <f t="shared" si="8"/>
        <v>52058.388677860057</v>
      </c>
      <c r="H19" s="72">
        <f t="shared" si="6"/>
        <v>0.20614794591634122</v>
      </c>
      <c r="I19">
        <f t="shared" si="1"/>
        <v>38</v>
      </c>
      <c r="J19" s="31">
        <f t="shared" si="2"/>
        <v>85786.162237056182</v>
      </c>
      <c r="K19" s="1">
        <f t="shared" si="3"/>
        <v>3431.4464894822472</v>
      </c>
      <c r="L19" s="1">
        <f t="shared" si="0"/>
        <v>23609.430787788879</v>
      </c>
      <c r="M19" s="39">
        <f t="shared" si="4"/>
        <v>59915.55823685322</v>
      </c>
    </row>
    <row r="20" spans="1:13">
      <c r="A20" s="2">
        <v>50</v>
      </c>
      <c r="B20" s="31">
        <f t="shared" si="5"/>
        <v>206036.82972778252</v>
      </c>
      <c r="C20" s="31">
        <f t="shared" si="7"/>
        <v>16805.082220966291</v>
      </c>
      <c r="D20" s="9">
        <f>VLOOKUP(A20,'PPA Mortality'!$A$3:$H$123,7,0)</f>
        <v>12.260388078954334</v>
      </c>
      <c r="E20" s="9">
        <f>VLOOKUP(A20,'PPA Mortality'!$A$3:$H$123,8,0)</f>
        <v>3.1129267748025637</v>
      </c>
      <c r="G20" s="31">
        <f t="shared" si="8"/>
        <v>60568.909216388092</v>
      </c>
      <c r="H20" s="72">
        <f t="shared" si="6"/>
        <v>0.23984907213737866</v>
      </c>
      <c r="I20">
        <f t="shared" si="1"/>
        <v>39</v>
      </c>
      <c r="J20" s="31">
        <f t="shared" si="2"/>
        <v>89423.495515907358</v>
      </c>
      <c r="K20" s="1">
        <f t="shared" si="3"/>
        <v>3576.9398206362944</v>
      </c>
      <c r="L20" s="1">
        <f t="shared" si="0"/>
        <v>22850.947681700211</v>
      </c>
      <c r="M20" s="39">
        <f t="shared" si="4"/>
        <v>68105.996041727209</v>
      </c>
    </row>
    <row r="21" spans="1:13">
      <c r="A21" s="2">
        <v>55</v>
      </c>
      <c r="B21" s="31">
        <f t="shared" si="5"/>
        <v>334184.93960987887</v>
      </c>
      <c r="C21" s="31">
        <f t="shared" si="7"/>
        <v>28398.662122430542</v>
      </c>
      <c r="D21" s="9">
        <f>VLOOKUP(A21,'PPA Mortality'!$A$3:$H$123,7,0)</f>
        <v>11.767629692172173</v>
      </c>
      <c r="E21" s="9">
        <f>VLOOKUP(A21,'PPA Mortality'!$A$3:$H$123,8,0)</f>
        <v>4.6035967102627122</v>
      </c>
      <c r="G21" s="31">
        <f t="shared" si="8"/>
        <v>67797.433114456595</v>
      </c>
      <c r="H21" s="72">
        <f t="shared" si="6"/>
        <v>0.26847357226962631</v>
      </c>
      <c r="I21">
        <f t="shared" si="1"/>
        <v>40</v>
      </c>
      <c r="J21" s="31">
        <f t="shared" si="2"/>
        <v>93215.051725781828</v>
      </c>
      <c r="K21" s="1">
        <f t="shared" si="3"/>
        <v>3728.602069031273</v>
      </c>
      <c r="L21" s="1">
        <f t="shared" si="0"/>
        <v>22116.83181374587</v>
      </c>
      <c r="M21" s="39">
        <f t="shared" si="4"/>
        <v>77078.75980597148</v>
      </c>
    </row>
    <row r="22" spans="1:13">
      <c r="A22" s="2">
        <v>60</v>
      </c>
      <c r="B22" s="31">
        <f t="shared" si="5"/>
        <v>528097.8645096519</v>
      </c>
      <c r="C22" s="31">
        <f t="shared" si="7"/>
        <v>47437.769656211603</v>
      </c>
      <c r="D22" s="9">
        <f>VLOOKUP(A22,'PPA Mortality'!$A$3:$H$123,7,0)</f>
        <v>11.132434520780672</v>
      </c>
      <c r="E22" s="9">
        <f>VLOOKUP(A22,'PPA Mortality'!$A$3:$H$123,8,0)</f>
        <v>6.8570713873876601</v>
      </c>
      <c r="G22" s="31">
        <f t="shared" si="8"/>
        <v>73937.076102027015</v>
      </c>
      <c r="H22" s="72">
        <f t="shared" si="6"/>
        <v>0.29278617246129518</v>
      </c>
      <c r="I22">
        <f t="shared" si="1"/>
        <v>41</v>
      </c>
      <c r="J22" s="31">
        <f t="shared" si="2"/>
        <v>97167.369918954981</v>
      </c>
      <c r="K22" s="1">
        <f t="shared" si="3"/>
        <v>3886.6947967581991</v>
      </c>
      <c r="L22" s="1">
        <f t="shared" si="0"/>
        <v>21406.300355291263</v>
      </c>
      <c r="M22" s="39">
        <f t="shared" si="4"/>
        <v>86900.519107789471</v>
      </c>
    </row>
    <row r="23" spans="1:13">
      <c r="A23" s="2">
        <v>65</v>
      </c>
      <c r="B23" s="31">
        <f t="shared" si="5"/>
        <v>819203.50224297831</v>
      </c>
      <c r="C23" s="31">
        <f t="shared" si="7"/>
        <v>79151.863594795068</v>
      </c>
      <c r="D23" s="9">
        <f>VLOOKUP(A23,'PPA Mortality'!$A$3:$H$123,7,0)</f>
        <v>10.34976897621458</v>
      </c>
      <c r="E23" s="9">
        <f>VLOOKUP(A23,'PPA Mortality'!$A$3:$H$123,8,0)</f>
        <v>10.34976897621458</v>
      </c>
      <c r="G23" s="31">
        <f t="shared" si="8"/>
        <v>79151.863594795068</v>
      </c>
      <c r="H23" s="89">
        <f t="shared" si="6"/>
        <v>0.31343640304520021</v>
      </c>
      <c r="I23">
        <f t="shared" si="1"/>
        <v>42</v>
      </c>
      <c r="J23" s="31">
        <f t="shared" si="2"/>
        <v>101287.26640351868</v>
      </c>
      <c r="K23" s="1">
        <f t="shared" si="3"/>
        <v>4051.490656140747</v>
      </c>
      <c r="L23" s="1">
        <f t="shared" si="0"/>
        <v>20718.595627071136</v>
      </c>
      <c r="M23" s="39">
        <f t="shared" si="4"/>
        <v>97643.349735230004</v>
      </c>
    </row>
    <row r="24" spans="1:13">
      <c r="A24" s="2">
        <v>70</v>
      </c>
      <c r="B24" s="31">
        <f t="shared" si="5"/>
        <v>1253479.7464527062</v>
      </c>
      <c r="C24" s="31">
        <f t="shared" si="7"/>
        <v>133245.28162721114</v>
      </c>
      <c r="D24" s="9">
        <f>VLOOKUP(A24,'PPA Mortality'!$A$3:$H$123,7,0)</f>
        <v>9.4073105714891039</v>
      </c>
      <c r="E24" s="9">
        <f>D24</f>
        <v>9.4073105714891039</v>
      </c>
      <c r="G24" s="31">
        <f t="shared" si="8"/>
        <v>83581.112762830351</v>
      </c>
      <c r="H24" s="72">
        <f>G24/($J$45*(1+$B$7)^5)</f>
        <v>0.26892081917880328</v>
      </c>
      <c r="I24">
        <f t="shared" si="1"/>
        <v>43</v>
      </c>
      <c r="J24" s="31">
        <f t="shared" si="2"/>
        <v>105581.84649902787</v>
      </c>
      <c r="K24" s="1">
        <f t="shared" si="3"/>
        <v>4223.2738599611148</v>
      </c>
      <c r="L24" s="1">
        <f t="shared" si="0"/>
        <v>20052.984291233941</v>
      </c>
      <c r="M24" s="39">
        <f t="shared" si="4"/>
        <v>109385.16152480383</v>
      </c>
    </row>
    <row r="25" spans="1:13">
      <c r="A25" s="2">
        <v>75</v>
      </c>
      <c r="B25" s="31">
        <f t="shared" si="5"/>
        <v>1898088.953298399</v>
      </c>
      <c r="C25" s="31">
        <f t="shared" si="7"/>
        <v>229314.2826328621</v>
      </c>
      <c r="D25" s="9">
        <f>VLOOKUP(A25,'PPA Mortality'!$A$3:$H$123,7,0)</f>
        <v>8.2772382579295627</v>
      </c>
      <c r="E25" s="9">
        <f>D25</f>
        <v>8.2772382579295627</v>
      </c>
      <c r="G25" s="31">
        <f t="shared" si="8"/>
        <v>87343.154498902688</v>
      </c>
      <c r="H25" s="72">
        <f>G25/($J$45*(1+$B$7)^10)</f>
        <v>0.22833534135756473</v>
      </c>
      <c r="I25">
        <f t="shared" si="1"/>
        <v>44</v>
      </c>
      <c r="J25" s="31">
        <f t="shared" si="2"/>
        <v>110058.51679058665</v>
      </c>
      <c r="K25" s="1">
        <f t="shared" si="3"/>
        <v>4402.3406716234667</v>
      </c>
      <c r="L25" s="1">
        <f t="shared" si="0"/>
        <v>19408.756569342862</v>
      </c>
      <c r="M25" s="39">
        <f t="shared" si="4"/>
        <v>122210.15963383717</v>
      </c>
    </row>
    <row r="26" spans="1:13">
      <c r="E26" s="3"/>
      <c r="F26" s="3"/>
      <c r="G26" s="3"/>
      <c r="H26" s="3"/>
      <c r="I26">
        <f t="shared" si="1"/>
        <v>45</v>
      </c>
      <c r="J26" s="31">
        <f t="shared" si="2"/>
        <v>114724.99790250753</v>
      </c>
      <c r="K26" s="1">
        <f t="shared" si="3"/>
        <v>4588.9999161003016</v>
      </c>
      <c r="L26" s="1">
        <f t="shared" si="0"/>
        <v>18785.225485499534</v>
      </c>
      <c r="M26" s="39">
        <f t="shared" si="4"/>
        <v>136209.34184174292</v>
      </c>
    </row>
    <row r="27" spans="1:13">
      <c r="A27" s="80" t="s">
        <v>24</v>
      </c>
      <c r="E27" s="3"/>
      <c r="F27" s="3"/>
      <c r="G27" s="3"/>
      <c r="H27" s="3"/>
      <c r="I27">
        <f t="shared" si="1"/>
        <v>46</v>
      </c>
      <c r="J27" s="31">
        <f t="shared" si="2"/>
        <v>119589.33781357385</v>
      </c>
      <c r="K27" s="1">
        <f t="shared" si="3"/>
        <v>4783.5735125429537</v>
      </c>
      <c r="L27" s="1">
        <f t="shared" si="0"/>
        <v>18181.726133783392</v>
      </c>
      <c r="M27" s="39">
        <f t="shared" si="4"/>
        <v>151481.03467610007</v>
      </c>
    </row>
    <row r="28" spans="1:13">
      <c r="E28" s="3"/>
      <c r="F28" s="3"/>
      <c r="G28" s="3"/>
      <c r="H28" s="3"/>
      <c r="I28">
        <f t="shared" si="1"/>
        <v>47</v>
      </c>
      <c r="J28" s="31">
        <f t="shared" si="2"/>
        <v>124659.92573686938</v>
      </c>
      <c r="K28" s="1">
        <f t="shared" si="3"/>
        <v>4986.3970294747751</v>
      </c>
      <c r="L28" s="1">
        <f t="shared" si="0"/>
        <v>17597.614969225448</v>
      </c>
      <c r="M28" s="39">
        <f t="shared" si="4"/>
        <v>168131.47137563454</v>
      </c>
    </row>
    <row r="29" spans="1:13">
      <c r="A29" s="76" t="s">
        <v>25</v>
      </c>
      <c r="B29" s="28">
        <v>1.4999999999999999E-2</v>
      </c>
      <c r="E29" s="3"/>
      <c r="F29" s="3"/>
      <c r="G29" s="3"/>
      <c r="H29" s="3"/>
      <c r="I29">
        <f t="shared" si="1"/>
        <v>48</v>
      </c>
      <c r="J29" s="31">
        <f t="shared" si="2"/>
        <v>129945.50658811264</v>
      </c>
      <c r="K29" s="1">
        <f t="shared" si="3"/>
        <v>5197.8202635245052</v>
      </c>
      <c r="L29" s="1">
        <f t="shared" si="0"/>
        <v>17032.26912156045</v>
      </c>
      <c r="M29" s="39">
        <f t="shared" si="4"/>
        <v>186275.4149350829</v>
      </c>
    </row>
    <row r="30" spans="1:13">
      <c r="E30" s="3"/>
      <c r="F30" s="3"/>
      <c r="G30" s="3"/>
      <c r="H30" s="3"/>
      <c r="I30">
        <f t="shared" si="1"/>
        <v>49</v>
      </c>
      <c r="J30" s="31">
        <f t="shared" si="2"/>
        <v>135455.19606744862</v>
      </c>
      <c r="K30" s="1">
        <f t="shared" si="3"/>
        <v>5418.2078426979451</v>
      </c>
      <c r="L30" s="1">
        <f t="shared" si="0"/>
        <v>16485.08573102564</v>
      </c>
      <c r="M30" s="39">
        <f t="shared" si="4"/>
        <v>206036.82972778223</v>
      </c>
    </row>
    <row r="31" spans="1:13">
      <c r="B31" s="2" t="s">
        <v>7</v>
      </c>
      <c r="I31">
        <f t="shared" si="1"/>
        <v>50</v>
      </c>
      <c r="J31" s="31">
        <f t="shared" si="2"/>
        <v>141198.49638070844</v>
      </c>
      <c r="K31" s="1">
        <f t="shared" si="3"/>
        <v>5647.9398552283374</v>
      </c>
      <c r="L31" s="1">
        <f t="shared" si="0"/>
        <v>15955.481305497797</v>
      </c>
      <c r="M31" s="39">
        <f t="shared" si="4"/>
        <v>227549.60547204976</v>
      </c>
    </row>
    <row r="32" spans="1:13">
      <c r="A32" s="76" t="s">
        <v>14</v>
      </c>
      <c r="B32" s="8">
        <v>25</v>
      </c>
      <c r="C32" s="2"/>
      <c r="I32">
        <f t="shared" si="1"/>
        <v>51</v>
      </c>
      <c r="J32" s="31">
        <f t="shared" si="2"/>
        <v>147185.31262725047</v>
      </c>
      <c r="K32" s="1">
        <f t="shared" si="3"/>
        <v>5887.4125050900193</v>
      </c>
      <c r="L32" s="1">
        <f t="shared" si="0"/>
        <v>15442.891098283104</v>
      </c>
      <c r="M32" s="39">
        <f t="shared" si="4"/>
        <v>250958.33759848762</v>
      </c>
    </row>
    <row r="33" spans="1:13">
      <c r="A33" s="8" t="s">
        <v>3</v>
      </c>
      <c r="B33" s="82" t="s">
        <v>72</v>
      </c>
      <c r="C33" s="83" t="s">
        <v>73</v>
      </c>
      <c r="D33" s="8" t="s">
        <v>74</v>
      </c>
      <c r="E33" s="78" t="s">
        <v>11</v>
      </c>
      <c r="G33" s="84" t="s">
        <v>79</v>
      </c>
      <c r="H33" s="2" t="s">
        <v>80</v>
      </c>
      <c r="I33">
        <f t="shared" si="1"/>
        <v>52</v>
      </c>
      <c r="J33" s="31">
        <f t="shared" si="2"/>
        <v>153425.96988264591</v>
      </c>
      <c r="K33" s="1">
        <f t="shared" si="3"/>
        <v>6137.0387953058362</v>
      </c>
      <c r="L33" s="1">
        <f t="shared" si="0"/>
        <v>14946.768505896292</v>
      </c>
      <c r="M33" s="39">
        <f t="shared" si="4"/>
        <v>276419.16838887701</v>
      </c>
    </row>
    <row r="34" spans="1:13">
      <c r="A34" s="2">
        <v>30</v>
      </c>
      <c r="B34" s="31">
        <f>G34*E34</f>
        <v>2704.390697843879</v>
      </c>
      <c r="C34" s="85">
        <f>B34/D34</f>
        <v>204.98609378746244</v>
      </c>
      <c r="D34" s="9">
        <f>D16</f>
        <v>13.193044698182778</v>
      </c>
      <c r="E34" s="9">
        <f>E16</f>
        <v>0.66255318779625394</v>
      </c>
      <c r="G34" s="31">
        <f>($B$29*($A16-B$14)*$J$6*((1+$B$7)^($A16-B$14-5))*((1+$B$7)^5-1)/$B$7/5)</f>
        <v>4081.7714677957656</v>
      </c>
      <c r="H34" s="72">
        <f t="shared" ref="H34:H41" si="9">G34/$J$45</f>
        <v>1.6163558365068768E-2</v>
      </c>
      <c r="I34">
        <f t="shared" si="1"/>
        <v>53</v>
      </c>
      <c r="J34" s="31">
        <f t="shared" si="2"/>
        <v>159931.2310056701</v>
      </c>
      <c r="K34" s="1">
        <f t="shared" si="3"/>
        <v>6397.2492402268035</v>
      </c>
      <c r="L34" s="1">
        <f t="shared" si="0"/>
        <v>14466.584485186904</v>
      </c>
      <c r="M34" s="39">
        <f t="shared" si="4"/>
        <v>304100.69359504734</v>
      </c>
    </row>
    <row r="35" spans="1:13">
      <c r="A35" s="2">
        <v>35</v>
      </c>
      <c r="B35" s="31">
        <f t="shared" ref="B35:B43" si="10">G35*E35</f>
        <v>9791.4922358842559</v>
      </c>
      <c r="C35" s="85">
        <f t="shared" ref="C35:C41" si="11">B35/D35</f>
        <v>749.4400032859545</v>
      </c>
      <c r="D35" s="9">
        <f t="shared" ref="D35:E35" si="12">D17</f>
        <v>13.065078182313465</v>
      </c>
      <c r="E35" s="9">
        <f t="shared" si="12"/>
        <v>0.97453667823225765</v>
      </c>
      <c r="G35" s="31">
        <f t="shared" ref="G35:G41" si="13">($B$29*($A17-B$14)*$J$6*((1+$B$7)^($A17-B$14-5))*((1+$B$7)^5-1)/$B$7/5)</f>
        <v>10047.330649109428</v>
      </c>
      <c r="H35" s="72">
        <f t="shared" si="9"/>
        <v>3.9786797629736963E-2</v>
      </c>
      <c r="I35">
        <f t="shared" si="1"/>
        <v>54</v>
      </c>
      <c r="J35" s="31">
        <f t="shared" si="2"/>
        <v>166712.31520031052</v>
      </c>
      <c r="K35" s="1">
        <f t="shared" si="3"/>
        <v>6668.4926080124205</v>
      </c>
      <c r="L35" s="1">
        <f t="shared" si="0"/>
        <v>14001.826989191113</v>
      </c>
      <c r="M35" s="39">
        <f t="shared" si="4"/>
        <v>334184.93960987835</v>
      </c>
    </row>
    <row r="36" spans="1:13">
      <c r="A36" s="2">
        <v>40</v>
      </c>
      <c r="B36" s="31">
        <f t="shared" si="10"/>
        <v>26597.869532238208</v>
      </c>
      <c r="C36" s="85">
        <f t="shared" si="11"/>
        <v>2064.6779314119076</v>
      </c>
      <c r="D36" s="9">
        <f t="shared" ref="D36:E36" si="14">D18</f>
        <v>12.882333427204088</v>
      </c>
      <c r="E36" s="9">
        <f t="shared" si="14"/>
        <v>1.4339462879654665</v>
      </c>
      <c r="G36" s="31">
        <f t="shared" si="13"/>
        <v>18548.720935688743</v>
      </c>
      <c r="H36" s="72">
        <f t="shared" si="9"/>
        <v>7.3451768627135539E-2</v>
      </c>
      <c r="I36">
        <f t="shared" si="1"/>
        <v>55</v>
      </c>
      <c r="J36" s="31">
        <f t="shared" si="2"/>
        <v>173780.9173648037</v>
      </c>
      <c r="K36" s="1">
        <f t="shared" ref="K36:K45" si="15">$B$3*J36</f>
        <v>6951.2366945921476</v>
      </c>
      <c r="L36" s="1">
        <f t="shared" si="0"/>
        <v>13552.000421107536</v>
      </c>
      <c r="M36" s="39">
        <f t="shared" si="4"/>
        <v>366868.41665443114</v>
      </c>
    </row>
    <row r="37" spans="1:13">
      <c r="A37" s="2">
        <v>45</v>
      </c>
      <c r="B37" s="31">
        <f t="shared" si="10"/>
        <v>64262.904563954842</v>
      </c>
      <c r="C37" s="85">
        <f t="shared" si="11"/>
        <v>5091.1647305366996</v>
      </c>
      <c r="D37" s="9">
        <f t="shared" ref="D37:E37" si="16">D19</f>
        <v>12.622436704612459</v>
      </c>
      <c r="E37" s="9">
        <f t="shared" si="16"/>
        <v>2.111230413382692</v>
      </c>
      <c r="G37" s="31">
        <f t="shared" si="13"/>
        <v>30438.603080272238</v>
      </c>
      <c r="H37" s="72">
        <f t="shared" si="9"/>
        <v>0.1205349543258064</v>
      </c>
      <c r="I37">
        <f t="shared" si="1"/>
        <v>56</v>
      </c>
      <c r="J37" s="31">
        <f t="shared" si="2"/>
        <v>181149.22826107137</v>
      </c>
      <c r="K37" s="1">
        <f t="shared" si="15"/>
        <v>7245.9691304428552</v>
      </c>
      <c r="L37" s="1">
        <f t="shared" si="0"/>
        <v>13116.625105814761</v>
      </c>
      <c r="M37" s="39">
        <f t="shared" si="4"/>
        <v>402363.25386726513</v>
      </c>
    </row>
    <row r="38" spans="1:13">
      <c r="A38" s="2">
        <v>50</v>
      </c>
      <c r="B38" s="31">
        <f t="shared" si="10"/>
        <v>145772.51574673346</v>
      </c>
      <c r="C38" s="85">
        <f t="shared" si="11"/>
        <v>11889.714649160285</v>
      </c>
      <c r="D38" s="9">
        <f t="shared" ref="D38:E38" si="17">D20</f>
        <v>12.260388078954334</v>
      </c>
      <c r="E38" s="9">
        <f t="shared" si="17"/>
        <v>3.1129267748025637</v>
      </c>
      <c r="G38" s="31">
        <f t="shared" si="13"/>
        <v>46828.122308138467</v>
      </c>
      <c r="H38" s="72">
        <f t="shared" si="9"/>
        <v>0.1854364199529574</v>
      </c>
      <c r="I38">
        <f t="shared" si="1"/>
        <v>57</v>
      </c>
      <c r="J38" s="31">
        <f t="shared" si="2"/>
        <v>188829.95553934079</v>
      </c>
      <c r="K38" s="1">
        <f t="shared" si="15"/>
        <v>7553.1982215736316</v>
      </c>
      <c r="L38" s="1">
        <f t="shared" si="0"/>
        <v>12695.236778367043</v>
      </c>
      <c r="M38" s="39">
        <f t="shared" si="4"/>
        <v>440898.42263661814</v>
      </c>
    </row>
    <row r="39" spans="1:13">
      <c r="A39" s="2">
        <v>55</v>
      </c>
      <c r="B39" s="31">
        <f t="shared" si="10"/>
        <v>318388.42794645793</v>
      </c>
      <c r="C39" s="85">
        <f t="shared" si="11"/>
        <v>27056.292241949955</v>
      </c>
      <c r="D39" s="9">
        <f t="shared" ref="D39:E39" si="18">D21</f>
        <v>11.767629692172173</v>
      </c>
      <c r="E39" s="9">
        <f t="shared" si="18"/>
        <v>4.6035967102627122</v>
      </c>
      <c r="G39" s="31">
        <f t="shared" si="13"/>
        <v>69160.799258692787</v>
      </c>
      <c r="H39" s="72">
        <f t="shared" si="9"/>
        <v>0.27387241647714411</v>
      </c>
      <c r="I39">
        <f t="shared" si="1"/>
        <v>58</v>
      </c>
      <c r="J39" s="31">
        <f t="shared" si="2"/>
        <v>196836.34565420885</v>
      </c>
      <c r="K39" s="1">
        <f t="shared" si="15"/>
        <v>7873.4538261683547</v>
      </c>
      <c r="L39" s="1">
        <f t="shared" si="0"/>
        <v>12287.386088922756</v>
      </c>
      <c r="M39" s="39">
        <f t="shared" si="4"/>
        <v>482721.05500580609</v>
      </c>
    </row>
    <row r="40" spans="1:13">
      <c r="A40" s="2">
        <v>60</v>
      </c>
      <c r="B40" s="31">
        <f t="shared" si="10"/>
        <v>680953.53311142104</v>
      </c>
      <c r="C40" s="85">
        <f t="shared" si="11"/>
        <v>61168.429227254826</v>
      </c>
      <c r="D40" s="9">
        <f t="shared" ref="D40:E40" si="19">D22</f>
        <v>11.132434520780672</v>
      </c>
      <c r="E40" s="9">
        <f t="shared" si="19"/>
        <v>6.8570713873876601</v>
      </c>
      <c r="G40" s="31">
        <f t="shared" si="13"/>
        <v>99306.758620584238</v>
      </c>
      <c r="H40" s="72">
        <f t="shared" si="9"/>
        <v>0.39324852007856809</v>
      </c>
      <c r="I40">
        <f t="shared" si="1"/>
        <v>59</v>
      </c>
      <c r="J40" s="31">
        <f t="shared" si="2"/>
        <v>205182.20670994732</v>
      </c>
      <c r="K40" s="1">
        <f t="shared" si="15"/>
        <v>8207.2882683978933</v>
      </c>
      <c r="L40" s="1">
        <f t="shared" si="0"/>
        <v>11892.638123577604</v>
      </c>
      <c r="M40" s="39">
        <f t="shared" si="4"/>
        <v>528097.86450965097</v>
      </c>
    </row>
    <row r="41" spans="1:13">
      <c r="A41" s="2">
        <v>65</v>
      </c>
      <c r="B41" s="31">
        <f t="shared" si="10"/>
        <v>1445684.161222385</v>
      </c>
      <c r="C41" s="85">
        <f t="shared" si="11"/>
        <v>139682.74698157975</v>
      </c>
      <c r="D41" s="9">
        <f t="shared" ref="D41:E41" si="20">D23</f>
        <v>10.34976897621458</v>
      </c>
      <c r="E41" s="9">
        <f t="shared" si="20"/>
        <v>10.34976897621458</v>
      </c>
      <c r="F41" s="2" t="s">
        <v>75</v>
      </c>
      <c r="G41" s="31">
        <f t="shared" si="13"/>
        <v>139682.74698157975</v>
      </c>
      <c r="H41" s="89">
        <f t="shared" si="9"/>
        <v>0.55313489528827953</v>
      </c>
      <c r="I41">
        <f t="shared" si="1"/>
        <v>60</v>
      </c>
      <c r="J41" s="31">
        <f t="shared" si="2"/>
        <v>213881.93227444909</v>
      </c>
      <c r="K41" s="1">
        <f t="shared" si="15"/>
        <v>8555.2772909779633</v>
      </c>
      <c r="L41" s="1">
        <f t="shared" si="0"/>
        <v>11510.571940591732</v>
      </c>
      <c r="M41" s="39">
        <f t="shared" si="4"/>
        <v>577316.67736787209</v>
      </c>
    </row>
    <row r="42" spans="1:13">
      <c r="A42" s="2">
        <v>70</v>
      </c>
      <c r="B42" s="31">
        <f t="shared" si="10"/>
        <v>2227829.5517068179</v>
      </c>
      <c r="C42" s="31">
        <f>MAX(C41*F42,($B$29*($A24-B$14)*$J$6*((1+$B$7)^($A24-B$14-5))*((1+$B$7)^5-1)/$B$7/5))</f>
        <v>236818.96486533983</v>
      </c>
      <c r="D42" s="9">
        <f t="shared" ref="D42:E42" si="21">D24</f>
        <v>9.4073105714891039</v>
      </c>
      <c r="E42" s="9">
        <f t="shared" si="21"/>
        <v>9.4073105714891039</v>
      </c>
      <c r="F42">
        <f>'PPA Mortality'!F68/'PPA Mortality'!F73</f>
        <v>1.6954059823620853</v>
      </c>
      <c r="G42" s="31">
        <f>C42</f>
        <v>236818.96486533983</v>
      </c>
      <c r="H42" s="72">
        <f>G42/($J$45*(1+$B$7)^5)</f>
        <v>0.7619610211385609</v>
      </c>
      <c r="I42">
        <f t="shared" si="1"/>
        <v>61</v>
      </c>
      <c r="J42" s="31">
        <f t="shared" si="2"/>
        <v>222950.52620288573</v>
      </c>
      <c r="K42" s="1">
        <f t="shared" si="15"/>
        <v>8918.0210481154299</v>
      </c>
      <c r="L42" s="1">
        <f t="shared" si="0"/>
        <v>11140.780121516083</v>
      </c>
      <c r="M42" s="39">
        <f t="shared" si="4"/>
        <v>630688.08257331362</v>
      </c>
    </row>
    <row r="43" spans="1:13">
      <c r="A43" s="2">
        <v>75</v>
      </c>
      <c r="B43" s="31">
        <f t="shared" si="10"/>
        <v>3542630.4570485628</v>
      </c>
      <c r="C43" s="31">
        <f>MAX(C41*F43,($B$29*($A25-B$14)*$J$6*((1+$B$7)^($A25-B$14-5))*((1+$B$7)^5-1)/$B$7/5))</f>
        <v>427996.67554026685</v>
      </c>
      <c r="D43" s="9">
        <f t="shared" ref="D43:E43" si="22">D25</f>
        <v>8.2772382579295627</v>
      </c>
      <c r="E43" s="9">
        <f t="shared" si="22"/>
        <v>8.2772382579295627</v>
      </c>
      <c r="F43">
        <f>'PPA Mortality'!F68/'PPA Mortality'!F78</f>
        <v>3.0640625616899388</v>
      </c>
      <c r="G43" s="31">
        <f>C43</f>
        <v>427996.67554026685</v>
      </c>
      <c r="H43" s="72">
        <f>G43/($J$45*(1+$B$7)^10)</f>
        <v>1.118882957342896</v>
      </c>
      <c r="I43">
        <f t="shared" si="1"/>
        <v>62</v>
      </c>
      <c r="J43" s="31">
        <f t="shared" si="2"/>
        <v>232403.62851388808</v>
      </c>
      <c r="K43" s="1">
        <f t="shared" si="15"/>
        <v>9296.1451405555235</v>
      </c>
      <c r="L43" s="1">
        <f t="shared" si="0"/>
        <v>10782.868336739428</v>
      </c>
      <c r="M43" s="39">
        <f t="shared" si="4"/>
        <v>688547.21007201436</v>
      </c>
    </row>
    <row r="44" spans="1:13">
      <c r="I44">
        <f t="shared" si="1"/>
        <v>63</v>
      </c>
      <c r="J44" s="31">
        <f t="shared" si="2"/>
        <v>242257.54236287693</v>
      </c>
      <c r="K44" s="1">
        <f t="shared" si="15"/>
        <v>9690.3016945150775</v>
      </c>
      <c r="L44" s="1">
        <f t="shared" si="0"/>
        <v>10436.454924992739</v>
      </c>
      <c r="M44" s="39">
        <f t="shared" si="4"/>
        <v>751255.64694207453</v>
      </c>
    </row>
    <row r="45" spans="1:13">
      <c r="A45" s="79" t="s">
        <v>76</v>
      </c>
      <c r="B45" s="2"/>
      <c r="I45">
        <f t="shared" si="1"/>
        <v>64</v>
      </c>
      <c r="J45" s="31">
        <f t="shared" si="2"/>
        <v>252529.26215906293</v>
      </c>
      <c r="K45" s="1">
        <f t="shared" si="15"/>
        <v>10101.170486362518</v>
      </c>
      <c r="L45" s="1">
        <f t="shared" si="0"/>
        <v>10101.170486362518</v>
      </c>
      <c r="M45" s="39">
        <f t="shared" si="4"/>
        <v>819203.5022429768</v>
      </c>
    </row>
    <row r="46" spans="1:13">
      <c r="A46" s="76"/>
      <c r="J46" s="31"/>
      <c r="K46" s="1"/>
      <c r="L46" s="1"/>
    </row>
    <row r="47" spans="1:13">
      <c r="A47" s="76" t="s">
        <v>14</v>
      </c>
      <c r="B47" s="8">
        <v>25</v>
      </c>
      <c r="C47" s="2"/>
      <c r="E47" s="3"/>
      <c r="J47" s="31"/>
      <c r="K47" s="1"/>
      <c r="L47" s="1"/>
    </row>
    <row r="48" spans="1:13">
      <c r="A48" s="2" t="s">
        <v>71</v>
      </c>
      <c r="B48" s="82" t="s">
        <v>72</v>
      </c>
      <c r="C48" s="83" t="s">
        <v>73</v>
      </c>
      <c r="D48" s="8" t="s">
        <v>74</v>
      </c>
      <c r="E48" s="78" t="s">
        <v>11</v>
      </c>
      <c r="G48" s="84" t="s">
        <v>79</v>
      </c>
      <c r="H48" s="2" t="s">
        <v>80</v>
      </c>
      <c r="J48" s="31"/>
      <c r="K48" s="1"/>
      <c r="L48" s="1"/>
    </row>
    <row r="49" spans="1:12">
      <c r="A49" s="2">
        <v>30</v>
      </c>
      <c r="B49" s="31">
        <f>$J$6*$D$3*($A49-B$14)*((1+$D$10)^($A49-B$14-1))/$D$56*E49</f>
        <v>1621.1436856823198</v>
      </c>
      <c r="C49" s="31">
        <f>B49/D49</f>
        <v>122.87866241411413</v>
      </c>
      <c r="D49" s="9">
        <f>VLOOKUP(A49,'PPA Mortality'!$A$3:$H$123,7,0)</f>
        <v>13.193044698182778</v>
      </c>
      <c r="E49" s="9">
        <f>VLOOKUP(A49,'PPA Mortality'!$A$3:$H$123,8,0)</f>
        <v>0.66255318779625394</v>
      </c>
      <c r="G49" s="31">
        <f>$J$6*$D$3*($A49-B$14)*((1+$D$10)^($A49-B$14-1))/$D$56</f>
        <v>2446.8128982587405</v>
      </c>
      <c r="H49" s="72">
        <f t="shared" ref="H49:H56" si="23">G49/$J$45</f>
        <v>9.6892252301340985E-3</v>
      </c>
    </row>
    <row r="50" spans="1:12">
      <c r="A50" s="2">
        <v>35</v>
      </c>
      <c r="B50" s="31">
        <f t="shared" ref="B50:B58" si="24">$J$6*$D$3*($A50-B$14)*((1+$D$10)^($A50-B$14-1))/$D$56*E50</f>
        <v>5528.5987281645203</v>
      </c>
      <c r="C50" s="31">
        <f t="shared" ref="C50:C56" si="25">B50/D50</f>
        <v>423.15848791848236</v>
      </c>
      <c r="D50" s="9">
        <f>VLOOKUP(A50,'PPA Mortality'!$A$3:$H$123,7,0)</f>
        <v>13.065078182313465</v>
      </c>
      <c r="E50" s="9">
        <f>VLOOKUP(A50,'PPA Mortality'!$A$3:$H$123,8,0)</f>
        <v>0.97453667823225765</v>
      </c>
      <c r="G50" s="31">
        <f t="shared" ref="G50:G58" si="26">$J$6*$D$3*($A50-B$14)*((1+$D$10)^($A50-B$14-1))/$D$56</f>
        <v>5673.0535152284028</v>
      </c>
      <c r="H50" s="72">
        <f t="shared" si="23"/>
        <v>2.246493521869582E-2</v>
      </c>
      <c r="K50" s="10" t="s">
        <v>69</v>
      </c>
      <c r="L50" s="30">
        <f>SUM(L6:L45)</f>
        <v>819203.50224297808</v>
      </c>
    </row>
    <row r="51" spans="1:12">
      <c r="A51" s="2">
        <v>40</v>
      </c>
      <c r="B51" s="31">
        <f t="shared" si="24"/>
        <v>14145.788062079962</v>
      </c>
      <c r="C51" s="31">
        <f t="shared" si="25"/>
        <v>1098.0765357468385</v>
      </c>
      <c r="D51" s="9">
        <f>VLOOKUP(A51,'PPA Mortality'!$A$3:$H$123,7,0)</f>
        <v>12.882333427204088</v>
      </c>
      <c r="E51" s="9">
        <f>VLOOKUP(A51,'PPA Mortality'!$A$3:$H$123,8,0)</f>
        <v>1.4339462879654665</v>
      </c>
      <c r="G51" s="31">
        <f t="shared" si="26"/>
        <v>9864.9357934811524</v>
      </c>
      <c r="H51" s="72">
        <f t="shared" si="23"/>
        <v>3.9064525469794602E-2</v>
      </c>
    </row>
    <row r="52" spans="1:12">
      <c r="A52" s="2">
        <v>45</v>
      </c>
      <c r="B52" s="31">
        <f t="shared" si="24"/>
        <v>32192.503871665536</v>
      </c>
      <c r="C52" s="31">
        <f t="shared" si="25"/>
        <v>2550.4191167702056</v>
      </c>
      <c r="D52" s="9">
        <f>VLOOKUP(A52,'PPA Mortality'!$A$3:$H$123,7,0)</f>
        <v>12.622436704612459</v>
      </c>
      <c r="E52" s="9">
        <f>VLOOKUP(A52,'PPA Mortality'!$A$3:$H$123,8,0)</f>
        <v>2.111230413382692</v>
      </c>
      <c r="G52" s="31">
        <f t="shared" si="26"/>
        <v>15248.219080022396</v>
      </c>
      <c r="H52" s="72">
        <f t="shared" si="23"/>
        <v>6.0381988802619871E-2</v>
      </c>
    </row>
    <row r="53" spans="1:12">
      <c r="A53" s="2">
        <v>50</v>
      </c>
      <c r="B53" s="31">
        <f t="shared" si="24"/>
        <v>68783.483169813335</v>
      </c>
      <c r="C53" s="31">
        <f t="shared" si="25"/>
        <v>5610.2207146186647</v>
      </c>
      <c r="D53" s="9">
        <f>VLOOKUP(A53,'PPA Mortality'!$A$3:$H$123,7,0)</f>
        <v>12.260388078954334</v>
      </c>
      <c r="E53" s="9">
        <f>VLOOKUP(A53,'PPA Mortality'!$A$3:$H$123,8,0)</f>
        <v>3.1129267748025637</v>
      </c>
      <c r="G53" s="31">
        <f t="shared" si="26"/>
        <v>22096.081323395698</v>
      </c>
      <c r="H53" s="72">
        <f t="shared" si="23"/>
        <v>8.7499092716937635E-2</v>
      </c>
    </row>
    <row r="54" spans="1:12">
      <c r="A54" s="2">
        <v>55</v>
      </c>
      <c r="B54" s="31">
        <f t="shared" si="24"/>
        <v>141507.64397239895</v>
      </c>
      <c r="C54" s="31">
        <f t="shared" si="25"/>
        <v>12025.161198480764</v>
      </c>
      <c r="D54" s="9">
        <f>VLOOKUP(A54,'PPA Mortality'!$A$3:$H$123,7,0)</f>
        <v>11.767629692172173</v>
      </c>
      <c r="E54" s="9">
        <f>VLOOKUP(A54,'PPA Mortality'!$A$3:$H$123,8,0)</f>
        <v>4.6035967102627122</v>
      </c>
      <c r="G54" s="31">
        <f t="shared" si="26"/>
        <v>30738.497066204476</v>
      </c>
      <c r="H54" s="72">
        <f t="shared" si="23"/>
        <v>0.12172251565382128</v>
      </c>
    </row>
    <row r="55" spans="1:12">
      <c r="A55" s="2">
        <v>60</v>
      </c>
      <c r="B55" s="31">
        <f t="shared" si="24"/>
        <v>285071.77061366942</v>
      </c>
      <c r="C55" s="31">
        <f t="shared" si="25"/>
        <v>25607.316178822537</v>
      </c>
      <c r="D55" s="9">
        <f>VLOOKUP(A55,'PPA Mortality'!$A$3:$H$123,7,0)</f>
        <v>11.132434520780672</v>
      </c>
      <c r="E55" s="9">
        <f>VLOOKUP(A55,'PPA Mortality'!$A$3:$H$123,8,0)</f>
        <v>6.8570713873876601</v>
      </c>
      <c r="G55" s="31">
        <f t="shared" si="26"/>
        <v>41573.399853763702</v>
      </c>
      <c r="H55" s="72">
        <f t="shared" si="23"/>
        <v>0.16462804943205941</v>
      </c>
    </row>
    <row r="56" spans="1:12">
      <c r="A56" s="2">
        <v>65</v>
      </c>
      <c r="B56" s="31">
        <f t="shared" si="24"/>
        <v>570064.85685420688</v>
      </c>
      <c r="C56" s="31">
        <f t="shared" si="25"/>
        <v>55079.959578257913</v>
      </c>
      <c r="D56" s="9">
        <f>VLOOKUP(A56,'PPA Mortality'!$A$3:$H$123,7,0)</f>
        <v>10.34976897621458</v>
      </c>
      <c r="E56" s="9">
        <f>VLOOKUP(A56,'PPA Mortality'!$A$3:$H$123,8,0)</f>
        <v>10.34976897621458</v>
      </c>
      <c r="F56" s="2" t="s">
        <v>75</v>
      </c>
      <c r="G56" s="31">
        <f t="shared" si="26"/>
        <v>55079.959578257913</v>
      </c>
      <c r="H56" s="89">
        <f t="shared" si="23"/>
        <v>0.21811317669618893</v>
      </c>
    </row>
    <row r="57" spans="1:12">
      <c r="A57" s="2">
        <v>70</v>
      </c>
      <c r="B57" s="31">
        <f t="shared" si="24"/>
        <v>675768.18405126466</v>
      </c>
      <c r="C57" s="31">
        <f>MAX(C56*F57,B57/D57)</f>
        <v>93382.892977240306</v>
      </c>
      <c r="D57" s="9">
        <f>VLOOKUP(A57,'PPA Mortality'!$A$3:$H$123,7,0)</f>
        <v>9.4073105714891039</v>
      </c>
      <c r="E57" s="9">
        <f>D57</f>
        <v>9.4073105714891039</v>
      </c>
      <c r="F57">
        <f>'PPA Mortality'!F68/'PPA Mortality'!F73</f>
        <v>1.6954059823620853</v>
      </c>
      <c r="G57" s="31">
        <f t="shared" si="26"/>
        <v>71834.365296637145</v>
      </c>
      <c r="H57" s="72">
        <f>G57/($J$45*(1+$B$7)^5)</f>
        <v>0.23112585753167819</v>
      </c>
    </row>
    <row r="58" spans="1:12">
      <c r="A58" s="2">
        <v>75</v>
      </c>
      <c r="B58" s="31">
        <f t="shared" si="24"/>
        <v>765881.05939834076</v>
      </c>
      <c r="C58" s="31">
        <f>MAX(C56*F58,B58/D58)</f>
        <v>168768.44204313523</v>
      </c>
      <c r="D58" s="9">
        <f>VLOOKUP(A58,'PPA Mortality'!$A$3:$H$123,7,0)</f>
        <v>8.2772382579295627</v>
      </c>
      <c r="E58" s="9">
        <f>D58</f>
        <v>8.2772382579295627</v>
      </c>
      <c r="F58">
        <f>'PPA Mortality'!F68/'PPA Mortality'!F78</f>
        <v>3.0640625616899388</v>
      </c>
      <c r="G58" s="31">
        <f t="shared" si="26"/>
        <v>92528.57481354117</v>
      </c>
      <c r="H58" s="72">
        <f>G58/($J$45*(1+$B$7)^10)</f>
        <v>0.24189123734527265</v>
      </c>
    </row>
    <row r="59" spans="1:12">
      <c r="A59" s="8"/>
      <c r="B59" s="2"/>
      <c r="C59" s="2"/>
      <c r="D59" s="8"/>
    </row>
    <row r="60" spans="1:12">
      <c r="A60" s="2"/>
      <c r="B60" s="1"/>
      <c r="C60" s="1"/>
      <c r="D60" s="81"/>
    </row>
    <row r="61" spans="1:12">
      <c r="A61" s="2"/>
      <c r="B61" s="1"/>
      <c r="C61" s="1"/>
    </row>
    <row r="62" spans="1:12">
      <c r="A62" s="2"/>
      <c r="B62" s="1"/>
      <c r="C62" s="1"/>
    </row>
    <row r="63" spans="1:12">
      <c r="B63" s="1"/>
      <c r="C63" s="1"/>
    </row>
    <row r="65" spans="1:4">
      <c r="A65" s="2"/>
    </row>
    <row r="67" spans="1:4">
      <c r="A67" s="76"/>
      <c r="B67" s="28"/>
    </row>
    <row r="69" spans="1:4">
      <c r="B69" s="2"/>
    </row>
    <row r="70" spans="1:4">
      <c r="A70" s="76"/>
      <c r="B70" s="2"/>
      <c r="C70" s="2"/>
      <c r="D70" s="8"/>
    </row>
    <row r="71" spans="1:4">
      <c r="A71" s="8"/>
    </row>
    <row r="72" spans="1:4">
      <c r="A72" s="2"/>
      <c r="B72" s="1"/>
      <c r="C72" s="1"/>
    </row>
    <row r="73" spans="1:4">
      <c r="A73" s="2"/>
      <c r="B73" s="1"/>
      <c r="C73" s="1"/>
    </row>
    <row r="74" spans="1:4">
      <c r="A74" s="2"/>
      <c r="B74" s="1"/>
      <c r="C74" s="1"/>
    </row>
    <row r="76" spans="1:4">
      <c r="A76" s="2"/>
      <c r="B76" s="2"/>
    </row>
    <row r="77" spans="1:4">
      <c r="A77" s="76"/>
    </row>
    <row r="78" spans="1:4">
      <c r="A78" s="8"/>
      <c r="B78" s="2"/>
      <c r="C78" s="2"/>
      <c r="D78" s="8"/>
    </row>
    <row r="79" spans="1:4">
      <c r="A79" s="2"/>
      <c r="B79" s="1"/>
      <c r="C79" s="1"/>
      <c r="D79" s="81"/>
    </row>
    <row r="80" spans="1:4">
      <c r="A80" s="2"/>
      <c r="B80" s="1"/>
      <c r="C80" s="1"/>
    </row>
    <row r="81" spans="1:3">
      <c r="A81" s="2"/>
      <c r="B81" s="1"/>
      <c r="C8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O65"/>
  <sheetViews>
    <sheetView topLeftCell="A7" workbookViewId="0">
      <selection activeCell="F19" sqref="F19"/>
    </sheetView>
  </sheetViews>
  <sheetFormatPr defaultRowHeight="15"/>
  <cols>
    <col min="1" max="1" width="25" customWidth="1"/>
    <col min="2" max="2" width="18.5703125" customWidth="1"/>
    <col min="3" max="3" width="14.7109375" customWidth="1"/>
    <col min="4" max="4" width="14" customWidth="1"/>
    <col min="5" max="5" width="15.7109375" customWidth="1"/>
    <col min="6" max="6" width="15.42578125" customWidth="1"/>
    <col min="7" max="7" width="6.28515625" customWidth="1"/>
    <col min="8" max="8" width="6" customWidth="1"/>
    <col min="9" max="9" width="4.7109375" customWidth="1"/>
    <col min="10" max="10" width="5.42578125" customWidth="1"/>
    <col min="11" max="11" width="12.5703125" bestFit="1" customWidth="1"/>
    <col min="12" max="12" width="11.5703125" bestFit="1" customWidth="1"/>
    <col min="13" max="13" width="13.5703125" customWidth="1"/>
    <col min="15" max="15" width="14.28515625" customWidth="1"/>
  </cols>
  <sheetData>
    <row r="1" spans="1:15">
      <c r="A1" s="2" t="s">
        <v>26</v>
      </c>
    </row>
    <row r="3" spans="1:15">
      <c r="A3" s="2" t="s">
        <v>0</v>
      </c>
      <c r="B3">
        <v>0.04</v>
      </c>
      <c r="C3" s="2" t="s">
        <v>27</v>
      </c>
      <c r="K3" s="2" t="s">
        <v>17</v>
      </c>
      <c r="O3" s="2" t="s">
        <v>19</v>
      </c>
    </row>
    <row r="4" spans="1:15">
      <c r="A4" s="2" t="s">
        <v>1</v>
      </c>
      <c r="B4">
        <v>0</v>
      </c>
      <c r="O4" s="2"/>
    </row>
    <row r="5" spans="1:15">
      <c r="A5" s="2"/>
      <c r="K5" t="s">
        <v>2</v>
      </c>
      <c r="L5" t="s">
        <v>15</v>
      </c>
      <c r="M5" t="s">
        <v>16</v>
      </c>
      <c r="O5" s="32">
        <f>AVERAGE(K41:K45)*40*B22*F29</f>
        <v>1232652.4666842129</v>
      </c>
    </row>
    <row r="6" spans="1:15">
      <c r="A6" s="2" t="s">
        <v>2</v>
      </c>
      <c r="B6">
        <v>50000</v>
      </c>
      <c r="J6">
        <v>35</v>
      </c>
      <c r="K6" s="31">
        <f>B6</f>
        <v>50000</v>
      </c>
      <c r="L6" s="1">
        <f>$B$3*K6</f>
        <v>2000</v>
      </c>
      <c r="M6" s="1">
        <f>L6*(1+$B$10)^(74-J6)</f>
        <v>36094.615870558344</v>
      </c>
    </row>
    <row r="7" spans="1:15">
      <c r="A7" s="2" t="s">
        <v>5</v>
      </c>
      <c r="B7">
        <v>4.24E-2</v>
      </c>
      <c r="J7">
        <f>J6+1</f>
        <v>36</v>
      </c>
      <c r="K7" s="31">
        <f>K6*(1+$B$7)</f>
        <v>52120</v>
      </c>
      <c r="L7" s="1">
        <f>$B$3*K7</f>
        <v>2084.8000000000002</v>
      </c>
      <c r="M7" s="1">
        <f t="shared" ref="M7:M45" si="0">L7*(1+$B$10)^(74-J7)</f>
        <v>34935.03025391831</v>
      </c>
    </row>
    <row r="8" spans="1:15">
      <c r="A8" s="2" t="s">
        <v>6</v>
      </c>
      <c r="B8">
        <f>(1+B7)/(1+B10)</f>
        <v>0.96787372330547816</v>
      </c>
      <c r="C8" s="2" t="s">
        <v>28</v>
      </c>
      <c r="J8">
        <f t="shared" ref="J8:J45" si="1">J7+1</f>
        <v>37</v>
      </c>
      <c r="K8" s="31">
        <f t="shared" ref="K8:K45" si="2">K7*(1+$B$7)</f>
        <v>54329.887999999999</v>
      </c>
      <c r="L8" s="1">
        <f t="shared" ref="L8:L35" si="3">$B$3*K8</f>
        <v>2173.1955200000002</v>
      </c>
      <c r="M8" s="1">
        <f t="shared" si="0"/>
        <v>33812.697805649441</v>
      </c>
    </row>
    <row r="9" spans="1:15">
      <c r="A9" s="2"/>
      <c r="F9" s="39"/>
      <c r="J9">
        <f t="shared" si="1"/>
        <v>38</v>
      </c>
      <c r="K9" s="31">
        <f t="shared" si="2"/>
        <v>56633.475251199998</v>
      </c>
      <c r="L9" s="1">
        <f t="shared" si="3"/>
        <v>2265.3390100480001</v>
      </c>
      <c r="M9" s="1">
        <f t="shared" si="0"/>
        <v>32726.42172015689</v>
      </c>
    </row>
    <row r="10" spans="1:15">
      <c r="A10" s="2" t="s">
        <v>4</v>
      </c>
      <c r="B10">
        <v>7.6999999999999999E-2</v>
      </c>
      <c r="C10" s="2" t="s">
        <v>27</v>
      </c>
      <c r="J10">
        <f t="shared" si="1"/>
        <v>39</v>
      </c>
      <c r="K10" s="31">
        <f t="shared" si="2"/>
        <v>59034.734601850876</v>
      </c>
      <c r="L10" s="1">
        <f t="shared" si="3"/>
        <v>2361.3893840740352</v>
      </c>
      <c r="M10" s="1">
        <f t="shared" si="0"/>
        <v>31675.043640753524</v>
      </c>
      <c r="O10" s="40"/>
    </row>
    <row r="11" spans="1:15" ht="15.75" thickBot="1">
      <c r="J11">
        <f t="shared" si="1"/>
        <v>40</v>
      </c>
      <c r="K11" s="31">
        <f t="shared" si="2"/>
        <v>61537.807348969356</v>
      </c>
      <c r="L11" s="1">
        <f t="shared" si="3"/>
        <v>2461.5122939587741</v>
      </c>
      <c r="M11" s="1">
        <f t="shared" si="0"/>
        <v>30657.442424439618</v>
      </c>
    </row>
    <row r="12" spans="1:15">
      <c r="A12" s="24" t="s">
        <v>21</v>
      </c>
      <c r="B12" s="25" t="s">
        <v>7</v>
      </c>
      <c r="C12" s="12"/>
      <c r="D12" s="12"/>
      <c r="E12" s="12"/>
      <c r="F12" s="13"/>
      <c r="J12">
        <f t="shared" si="1"/>
        <v>41</v>
      </c>
      <c r="K12" s="31">
        <f t="shared" si="2"/>
        <v>64147.010380565654</v>
      </c>
      <c r="L12" s="1">
        <f t="shared" si="3"/>
        <v>2565.8804152226262</v>
      </c>
      <c r="M12" s="1">
        <f t="shared" si="0"/>
        <v>29672.532946365696</v>
      </c>
    </row>
    <row r="13" spans="1:15">
      <c r="A13" s="17" t="s">
        <v>14</v>
      </c>
      <c r="F13" s="15"/>
      <c r="J13">
        <f t="shared" si="1"/>
        <v>42</v>
      </c>
      <c r="K13" s="31">
        <f t="shared" si="2"/>
        <v>66866.843620701635</v>
      </c>
      <c r="L13" s="1">
        <f t="shared" si="3"/>
        <v>2674.6737448280655</v>
      </c>
      <c r="M13" s="1">
        <f t="shared" si="0"/>
        <v>28719.264942703438</v>
      </c>
    </row>
    <row r="14" spans="1:15">
      <c r="A14" s="18" t="s">
        <v>3</v>
      </c>
      <c r="B14" s="2">
        <v>25</v>
      </c>
      <c r="C14" s="2">
        <v>35</v>
      </c>
      <c r="D14" s="2">
        <v>45</v>
      </c>
      <c r="E14" s="2">
        <v>55</v>
      </c>
      <c r="F14" s="15"/>
      <c r="G14" s="3"/>
      <c r="H14" s="3"/>
      <c r="I14" s="3"/>
      <c r="J14">
        <f t="shared" si="1"/>
        <v>43</v>
      </c>
      <c r="K14" s="31">
        <f t="shared" si="2"/>
        <v>69701.997790219379</v>
      </c>
      <c r="L14" s="1">
        <f t="shared" si="3"/>
        <v>2788.0799116087751</v>
      </c>
      <c r="M14" s="1">
        <f t="shared" si="0"/>
        <v>27796.621890690865</v>
      </c>
    </row>
    <row r="15" spans="1:15">
      <c r="A15" s="16">
        <v>55</v>
      </c>
      <c r="B15" s="29">
        <f>$K$6*$B$3*((1-$B$8^($A15-B$14))/(1-$B$8))*((1+$B$10)^($A15-B$14-1))</f>
        <v>334184.93960987887</v>
      </c>
      <c r="C15" s="1">
        <f t="shared" ref="C15:E15" si="4">$K$6*$B$3*((1-$B$8^($A15-C$14))/(1-$B$8))*((1+$B$10)^($A15-C$14-1))</f>
        <v>122210.15963383732</v>
      </c>
      <c r="D15" s="1">
        <f t="shared" si="4"/>
        <v>33811.460461248833</v>
      </c>
      <c r="E15" s="1">
        <f t="shared" si="4"/>
        <v>0</v>
      </c>
      <c r="F15" s="15"/>
      <c r="G15" s="3"/>
      <c r="H15" s="3"/>
      <c r="I15" s="3"/>
      <c r="J15">
        <f t="shared" si="1"/>
        <v>44</v>
      </c>
      <c r="K15" s="31">
        <f t="shared" si="2"/>
        <v>72657.362496524685</v>
      </c>
      <c r="L15" s="1">
        <f t="shared" si="3"/>
        <v>2906.2944998609873</v>
      </c>
      <c r="M15" s="1">
        <f t="shared" si="0"/>
        <v>26903.619924657531</v>
      </c>
    </row>
    <row r="16" spans="1:15">
      <c r="A16" s="16">
        <v>65</v>
      </c>
      <c r="B16" s="1">
        <f>$K$6*$B$3*((1-$B$8^($A16-B$14))/(1-$B$8))*((1+$B$10)^($A16-B$14-1))</f>
        <v>819203.50224297831</v>
      </c>
      <c r="C16" s="1">
        <f t="shared" ref="B16:E17" si="5">$K$6*$B$3*((1-$B$8^($A16-C$14))/(1-$B$8))*((1+$B$10)^($A16-C$14-1))</f>
        <v>334184.93960987887</v>
      </c>
      <c r="D16" s="29">
        <f t="shared" si="5"/>
        <v>122210.15963383732</v>
      </c>
      <c r="E16" s="1">
        <f t="shared" si="5"/>
        <v>33811.460461248833</v>
      </c>
      <c r="F16" s="15"/>
      <c r="G16" s="4"/>
      <c r="H16" s="3"/>
      <c r="I16" s="3"/>
      <c r="J16">
        <f t="shared" si="1"/>
        <v>45</v>
      </c>
      <c r="K16" s="31">
        <f t="shared" si="2"/>
        <v>75738.034666377338</v>
      </c>
      <c r="L16" s="1">
        <f t="shared" si="3"/>
        <v>3029.5213866550935</v>
      </c>
      <c r="M16" s="1">
        <f t="shared" si="0"/>
        <v>26039.306786873731</v>
      </c>
    </row>
    <row r="17" spans="1:13">
      <c r="A17" s="16">
        <v>75</v>
      </c>
      <c r="B17" s="1">
        <f t="shared" si="5"/>
        <v>1898088.953298399</v>
      </c>
      <c r="C17" s="29">
        <f t="shared" si="5"/>
        <v>819203.50224297831</v>
      </c>
      <c r="D17" s="1">
        <f t="shared" si="5"/>
        <v>334184.93960987887</v>
      </c>
      <c r="E17" s="1">
        <f t="shared" si="5"/>
        <v>122210.15963383732</v>
      </c>
      <c r="F17" s="15"/>
      <c r="G17" s="4"/>
      <c r="H17" s="3"/>
      <c r="I17" s="3"/>
      <c r="J17">
        <f t="shared" si="1"/>
        <v>46</v>
      </c>
      <c r="K17" s="31">
        <f t="shared" si="2"/>
        <v>78949.327336231741</v>
      </c>
      <c r="L17" s="1">
        <f t="shared" si="3"/>
        <v>3157.9730934492695</v>
      </c>
      <c r="M17" s="1">
        <f t="shared" si="0"/>
        <v>25202.760812105083</v>
      </c>
    </row>
    <row r="18" spans="1:13">
      <c r="A18" s="14"/>
      <c r="B18" s="1"/>
      <c r="C18" s="1"/>
      <c r="D18" s="1"/>
      <c r="E18" s="1"/>
      <c r="F18" s="15"/>
      <c r="G18" s="3"/>
      <c r="H18" s="3"/>
      <c r="I18" s="3"/>
      <c r="J18">
        <f t="shared" si="1"/>
        <v>47</v>
      </c>
      <c r="K18" s="31">
        <f t="shared" si="2"/>
        <v>82296.778815287966</v>
      </c>
      <c r="L18" s="1">
        <f t="shared" si="3"/>
        <v>3291.8711526115185</v>
      </c>
      <c r="M18" s="1">
        <f t="shared" si="0"/>
        <v>24393.089944789546</v>
      </c>
    </row>
    <row r="19" spans="1:13">
      <c r="A19" s="14"/>
      <c r="F19" s="15"/>
      <c r="G19" s="3"/>
      <c r="H19" s="3"/>
      <c r="I19" s="3"/>
      <c r="J19">
        <f t="shared" si="1"/>
        <v>48</v>
      </c>
      <c r="K19" s="31">
        <f t="shared" si="2"/>
        <v>85786.162237056182</v>
      </c>
      <c r="L19" s="1">
        <f t="shared" si="3"/>
        <v>3431.4464894822472</v>
      </c>
      <c r="M19" s="1">
        <f t="shared" si="0"/>
        <v>23609.430787788879</v>
      </c>
    </row>
    <row r="20" spans="1:13">
      <c r="A20" s="16" t="s">
        <v>24</v>
      </c>
      <c r="F20" s="15"/>
      <c r="G20" s="3"/>
      <c r="H20" s="3"/>
      <c r="I20" s="3"/>
      <c r="J20">
        <f t="shared" si="1"/>
        <v>49</v>
      </c>
      <c r="K20" s="31">
        <f t="shared" si="2"/>
        <v>89423.495515907358</v>
      </c>
      <c r="L20" s="1">
        <f t="shared" si="3"/>
        <v>3576.9398206362944</v>
      </c>
      <c r="M20" s="1">
        <f t="shared" si="0"/>
        <v>22850.947681700211</v>
      </c>
    </row>
    <row r="21" spans="1:13">
      <c r="A21" s="14"/>
      <c r="F21" s="15"/>
      <c r="G21" s="3"/>
      <c r="H21" s="3"/>
      <c r="I21" s="3"/>
      <c r="J21">
        <f t="shared" si="1"/>
        <v>50</v>
      </c>
      <c r="K21" s="31">
        <f t="shared" si="2"/>
        <v>93215.051725781828</v>
      </c>
      <c r="L21" s="1">
        <f t="shared" si="3"/>
        <v>3728.602069031273</v>
      </c>
      <c r="M21" s="1">
        <f t="shared" si="0"/>
        <v>22116.83181374587</v>
      </c>
    </row>
    <row r="22" spans="1:13">
      <c r="A22" s="17" t="s">
        <v>25</v>
      </c>
      <c r="B22" s="28">
        <v>1.4999999999999999E-2</v>
      </c>
      <c r="F22" s="15"/>
      <c r="G22" s="3"/>
      <c r="H22" s="3"/>
      <c r="I22" s="3"/>
      <c r="J22">
        <f t="shared" si="1"/>
        <v>51</v>
      </c>
      <c r="K22" s="31">
        <f t="shared" si="2"/>
        <v>97167.369918954981</v>
      </c>
      <c r="L22" s="1">
        <f t="shared" si="3"/>
        <v>3886.6947967581991</v>
      </c>
      <c r="M22" s="1">
        <f t="shared" si="0"/>
        <v>21406.300355291263</v>
      </c>
    </row>
    <row r="23" spans="1:13">
      <c r="A23" s="14"/>
      <c r="F23" s="15"/>
      <c r="G23" s="3"/>
      <c r="H23" s="3"/>
      <c r="I23" s="3"/>
      <c r="J23">
        <f t="shared" si="1"/>
        <v>52</v>
      </c>
      <c r="K23" s="31">
        <f t="shared" si="2"/>
        <v>101287.26640351868</v>
      </c>
      <c r="L23" s="1">
        <f t="shared" si="3"/>
        <v>4051.490656140747</v>
      </c>
      <c r="M23" s="1">
        <f t="shared" si="0"/>
        <v>20718.595627071136</v>
      </c>
    </row>
    <row r="24" spans="1:13">
      <c r="A24" s="14"/>
      <c r="B24" s="2" t="s">
        <v>7</v>
      </c>
      <c r="F24" s="15"/>
      <c r="G24" s="3"/>
      <c r="H24" s="3"/>
      <c r="I24" s="3"/>
      <c r="J24">
        <f t="shared" si="1"/>
        <v>53</v>
      </c>
      <c r="K24" s="31">
        <f t="shared" si="2"/>
        <v>105581.84649902787</v>
      </c>
      <c r="L24" s="1">
        <f t="shared" si="3"/>
        <v>4223.2738599611148</v>
      </c>
      <c r="M24" s="1">
        <f t="shared" si="0"/>
        <v>20052.984291233941</v>
      </c>
    </row>
    <row r="25" spans="1:13">
      <c r="A25" s="17" t="s">
        <v>14</v>
      </c>
      <c r="B25" s="2">
        <v>25</v>
      </c>
      <c r="C25" s="2">
        <v>35</v>
      </c>
      <c r="D25" s="2">
        <v>45</v>
      </c>
      <c r="E25" s="2">
        <v>55</v>
      </c>
      <c r="F25" s="19" t="s">
        <v>8</v>
      </c>
      <c r="G25" s="3"/>
      <c r="H25" s="3"/>
      <c r="I25" s="3"/>
      <c r="J25">
        <f t="shared" si="1"/>
        <v>54</v>
      </c>
      <c r="K25" s="31">
        <f t="shared" si="2"/>
        <v>110058.51679058665</v>
      </c>
      <c r="L25" s="1">
        <f t="shared" si="3"/>
        <v>4402.3406716234667</v>
      </c>
      <c r="M25" s="1">
        <f t="shared" si="0"/>
        <v>19408.756569342862</v>
      </c>
    </row>
    <row r="26" spans="1:13">
      <c r="A26" s="18" t="s">
        <v>3</v>
      </c>
      <c r="F26" s="15"/>
      <c r="G26" s="3"/>
      <c r="H26" s="3"/>
      <c r="I26" s="3"/>
      <c r="J26">
        <f t="shared" si="1"/>
        <v>55</v>
      </c>
      <c r="K26" s="31">
        <f t="shared" si="2"/>
        <v>114724.99790250753</v>
      </c>
      <c r="L26" s="1">
        <f t="shared" si="3"/>
        <v>4588.9999161003016</v>
      </c>
      <c r="M26" s="1">
        <f t="shared" si="0"/>
        <v>18785.225485499534</v>
      </c>
    </row>
    <row r="27" spans="1:13">
      <c r="A27" s="16">
        <v>55</v>
      </c>
      <c r="B27" s="31">
        <f>($B$22*($A15-B$14)*$K$6*((1+$B$7)^($A15-B$14-5))*((1+$B$7)^5-1)/$B$7/5)*$F27</f>
        <v>470021.63120300043</v>
      </c>
      <c r="C27" s="1">
        <f t="shared" ref="C27:E27" si="6">($B$22*($A15-C$14)*$K$6*((1+$B$7)^($A15-C$14-5))*((1+$B$7)^5-1)/$B$7/5)*$F27</f>
        <v>206862.87643692919</v>
      </c>
      <c r="D27" s="1">
        <f t="shared" si="6"/>
        <v>68282.362140815632</v>
      </c>
      <c r="E27" s="1">
        <f t="shared" si="6"/>
        <v>0</v>
      </c>
      <c r="F27" s="15">
        <f>PPAfactors!D58</f>
        <v>6.7960699737564649</v>
      </c>
      <c r="G27" s="3"/>
      <c r="H27" s="3"/>
      <c r="I27" s="3"/>
      <c r="J27">
        <f t="shared" si="1"/>
        <v>56</v>
      </c>
      <c r="K27" s="31">
        <f t="shared" si="2"/>
        <v>119589.33781357385</v>
      </c>
      <c r="L27" s="1">
        <f t="shared" si="3"/>
        <v>4783.5735125429537</v>
      </c>
      <c r="M27" s="1">
        <f t="shared" si="0"/>
        <v>18181.726133783392</v>
      </c>
    </row>
    <row r="28" spans="1:13">
      <c r="A28" s="16">
        <v>65</v>
      </c>
      <c r="B28" s="1">
        <f t="shared" ref="B28:E29" si="7">($B$22*($A16-B$14)*$K$6*((1+$B$7)^($A16-B$14-5))*((1+$B$7)^5-1)/$B$7/5)*$F28</f>
        <v>1687888.6175712785</v>
      </c>
      <c r="C28" s="1">
        <f t="shared" si="7"/>
        <v>835720.43343530362</v>
      </c>
      <c r="D28" s="31">
        <f t="shared" si="7"/>
        <v>367811.86498814169</v>
      </c>
      <c r="E28" s="1">
        <f t="shared" si="7"/>
        <v>121409.23203524368</v>
      </c>
      <c r="F28" s="15">
        <f>PPAfactors!D68</f>
        <v>12.083730124478894</v>
      </c>
      <c r="G28" s="3"/>
      <c r="H28" s="3"/>
      <c r="I28" s="3"/>
      <c r="J28">
        <f t="shared" si="1"/>
        <v>57</v>
      </c>
      <c r="K28" s="31">
        <f t="shared" si="2"/>
        <v>124659.92573686938</v>
      </c>
      <c r="L28" s="1">
        <f t="shared" si="3"/>
        <v>4986.3970294747751</v>
      </c>
      <c r="M28" s="1">
        <f t="shared" si="0"/>
        <v>17597.614969225448</v>
      </c>
    </row>
    <row r="29" spans="1:13">
      <c r="A29" s="16">
        <v>75</v>
      </c>
      <c r="B29" s="1">
        <f t="shared" si="7"/>
        <v>2333966.8813331169</v>
      </c>
      <c r="C29" s="31">
        <f t="shared" si="7"/>
        <v>1232652.466684215</v>
      </c>
      <c r="D29" s="1">
        <f t="shared" si="7"/>
        <v>610320.39851938013</v>
      </c>
      <c r="E29" s="1">
        <f t="shared" si="7"/>
        <v>268610.26132502384</v>
      </c>
      <c r="F29" s="15">
        <f>PPAfactors!D78</f>
        <v>8.8246579718737017</v>
      </c>
      <c r="G29" s="3"/>
      <c r="H29" s="3"/>
      <c r="I29" s="3"/>
      <c r="J29">
        <f t="shared" si="1"/>
        <v>58</v>
      </c>
      <c r="K29" s="31">
        <f t="shared" si="2"/>
        <v>129945.50658811264</v>
      </c>
      <c r="L29" s="1">
        <f t="shared" si="3"/>
        <v>5197.8202635245052</v>
      </c>
      <c r="M29" s="1">
        <f t="shared" si="0"/>
        <v>17032.26912156045</v>
      </c>
    </row>
    <row r="30" spans="1:13">
      <c r="A30" s="14"/>
      <c r="F30" s="15"/>
      <c r="G30" s="3"/>
      <c r="H30" s="3"/>
      <c r="I30" s="3"/>
      <c r="J30">
        <f t="shared" si="1"/>
        <v>59</v>
      </c>
      <c r="K30" s="31">
        <f t="shared" si="2"/>
        <v>135455.19606744862</v>
      </c>
      <c r="L30" s="1">
        <f t="shared" si="3"/>
        <v>5418.2078426979451</v>
      </c>
      <c r="M30" s="1">
        <f t="shared" si="0"/>
        <v>16485.08573102564</v>
      </c>
    </row>
    <row r="31" spans="1:13">
      <c r="A31" s="16" t="s">
        <v>20</v>
      </c>
      <c r="B31" s="2" t="s">
        <v>7</v>
      </c>
      <c r="F31" s="15"/>
      <c r="J31">
        <f t="shared" si="1"/>
        <v>60</v>
      </c>
      <c r="K31" s="31">
        <f t="shared" si="2"/>
        <v>141198.49638070844</v>
      </c>
      <c r="L31" s="1">
        <f t="shared" si="3"/>
        <v>5647.9398552283374</v>
      </c>
      <c r="M31" s="1">
        <f t="shared" si="0"/>
        <v>15955.481305497797</v>
      </c>
    </row>
    <row r="32" spans="1:13">
      <c r="A32" s="17" t="s">
        <v>14</v>
      </c>
      <c r="C32" s="38"/>
      <c r="F32" s="15"/>
      <c r="J32">
        <f t="shared" si="1"/>
        <v>61</v>
      </c>
      <c r="K32" s="31">
        <f t="shared" si="2"/>
        <v>147185.31262725047</v>
      </c>
      <c r="L32" s="1">
        <f t="shared" si="3"/>
        <v>5887.4125050900193</v>
      </c>
      <c r="M32" s="1">
        <f t="shared" si="0"/>
        <v>15442.891098283104</v>
      </c>
    </row>
    <row r="33" spans="1:13">
      <c r="A33" s="18" t="s">
        <v>3</v>
      </c>
      <c r="B33" s="2">
        <v>25</v>
      </c>
      <c r="C33" s="2">
        <v>35</v>
      </c>
      <c r="D33" s="2">
        <v>45</v>
      </c>
      <c r="E33" s="2">
        <v>55</v>
      </c>
      <c r="F33" s="19" t="s">
        <v>8</v>
      </c>
      <c r="J33">
        <f t="shared" si="1"/>
        <v>62</v>
      </c>
      <c r="K33" s="31">
        <f t="shared" si="2"/>
        <v>153425.96988264591</v>
      </c>
      <c r="L33" s="1">
        <f t="shared" si="3"/>
        <v>6137.0387953058362</v>
      </c>
      <c r="M33" s="1">
        <f t="shared" si="0"/>
        <v>14946.768505896292</v>
      </c>
    </row>
    <row r="34" spans="1:13">
      <c r="A34" s="16">
        <v>55</v>
      </c>
      <c r="B34" s="34">
        <f>$K$6*$B$3*((1-$B$8^($A34-B$33))/(1-$B$8))*((1+$B$10)^($A34-B$33-1))*$F$34</f>
        <v>195063.74925028629</v>
      </c>
      <c r="C34" s="1">
        <f t="shared" ref="C34:E34" si="8">$K$6*$B$3*((1-$B$8^($A34-C$33))/(1-$B$8))*((1+$B$10)^($A34-C$33-1))*$F$34</f>
        <v>71334.070178270849</v>
      </c>
      <c r="D34" s="1">
        <f t="shared" si="8"/>
        <v>19735.749471230945</v>
      </c>
      <c r="E34" s="1">
        <f t="shared" si="8"/>
        <v>0</v>
      </c>
      <c r="F34" s="20">
        <v>0.5837</v>
      </c>
      <c r="J34">
        <f t="shared" si="1"/>
        <v>63</v>
      </c>
      <c r="K34" s="31">
        <f t="shared" si="2"/>
        <v>159931.2310056701</v>
      </c>
      <c r="L34" s="1">
        <f t="shared" si="3"/>
        <v>6397.2492402268035</v>
      </c>
      <c r="M34" s="1">
        <f t="shared" si="0"/>
        <v>14466.584485186904</v>
      </c>
    </row>
    <row r="35" spans="1:13">
      <c r="A35" s="16">
        <v>65</v>
      </c>
      <c r="B35" s="1">
        <f t="shared" ref="B35:E36" si="9">$K$6*$B$3*((1-$B$8^($A35-B$33))/(1-$B$8))*((1+$B$10)^($A35-B$33-1))*$F$34</f>
        <v>478169.08425922645</v>
      </c>
      <c r="C35" s="1">
        <f t="shared" si="9"/>
        <v>195063.74925028629</v>
      </c>
      <c r="D35" s="34">
        <f t="shared" si="9"/>
        <v>71334.070178270849</v>
      </c>
      <c r="E35" s="1">
        <f t="shared" si="9"/>
        <v>19735.749471230945</v>
      </c>
      <c r="F35" s="15"/>
      <c r="J35">
        <f t="shared" si="1"/>
        <v>64</v>
      </c>
      <c r="K35" s="31">
        <f t="shared" si="2"/>
        <v>166712.31520031052</v>
      </c>
      <c r="L35" s="1">
        <f t="shared" si="3"/>
        <v>6668.4926080124205</v>
      </c>
      <c r="M35" s="1">
        <f t="shared" si="0"/>
        <v>14001.826989191113</v>
      </c>
    </row>
    <row r="36" spans="1:13" ht="15.75" thickBot="1">
      <c r="A36" s="26">
        <v>75</v>
      </c>
      <c r="B36" s="27">
        <f t="shared" si="9"/>
        <v>1107914.5220402754</v>
      </c>
      <c r="C36" s="37">
        <f t="shared" si="9"/>
        <v>478169.08425922645</v>
      </c>
      <c r="D36" s="27">
        <f t="shared" si="9"/>
        <v>195063.74925028629</v>
      </c>
      <c r="E36" s="27">
        <f t="shared" si="9"/>
        <v>71334.070178270849</v>
      </c>
      <c r="F36" s="23"/>
      <c r="J36">
        <f t="shared" si="1"/>
        <v>65</v>
      </c>
      <c r="K36" s="31">
        <f t="shared" si="2"/>
        <v>173780.9173648037</v>
      </c>
      <c r="L36" s="1">
        <f t="shared" ref="L36:L45" si="10">$B$3*K36</f>
        <v>6951.2366945921476</v>
      </c>
      <c r="M36" s="1">
        <f t="shared" si="0"/>
        <v>13552.000421107536</v>
      </c>
    </row>
    <row r="37" spans="1:13" ht="15.75" thickBot="1">
      <c r="J37">
        <f t="shared" si="1"/>
        <v>66</v>
      </c>
      <c r="K37" s="31">
        <f t="shared" si="2"/>
        <v>181149.22826107137</v>
      </c>
      <c r="L37" s="1">
        <f t="shared" si="10"/>
        <v>7245.9691304428552</v>
      </c>
      <c r="M37" s="1">
        <f t="shared" si="0"/>
        <v>13116.625105814761</v>
      </c>
    </row>
    <row r="38" spans="1:13">
      <c r="A38" s="11" t="s">
        <v>22</v>
      </c>
      <c r="B38" s="12"/>
      <c r="C38" s="12"/>
      <c r="D38" s="12"/>
      <c r="E38" s="12"/>
      <c r="F38" s="13"/>
      <c r="J38">
        <f t="shared" si="1"/>
        <v>67</v>
      </c>
      <c r="K38" s="31">
        <f t="shared" si="2"/>
        <v>188829.95553934079</v>
      </c>
      <c r="L38" s="1">
        <f t="shared" si="10"/>
        <v>7553.1982215736316</v>
      </c>
      <c r="M38" s="1">
        <f t="shared" si="0"/>
        <v>12695.236778367043</v>
      </c>
    </row>
    <row r="39" spans="1:13">
      <c r="A39" s="14"/>
      <c r="F39" s="15"/>
      <c r="J39">
        <f t="shared" si="1"/>
        <v>68</v>
      </c>
      <c r="K39" s="31">
        <f t="shared" si="2"/>
        <v>196836.34565420885</v>
      </c>
      <c r="L39" s="1">
        <f t="shared" si="10"/>
        <v>7873.4538261683547</v>
      </c>
      <c r="M39" s="1">
        <f t="shared" si="0"/>
        <v>12287.386088922756</v>
      </c>
    </row>
    <row r="40" spans="1:13">
      <c r="A40" s="16" t="s">
        <v>21</v>
      </c>
      <c r="B40" s="2" t="s">
        <v>23</v>
      </c>
      <c r="F40" s="15"/>
      <c r="J40">
        <f t="shared" si="1"/>
        <v>69</v>
      </c>
      <c r="K40" s="31">
        <f t="shared" si="2"/>
        <v>205182.20670994732</v>
      </c>
      <c r="L40" s="1">
        <f t="shared" si="10"/>
        <v>8207.2882683978933</v>
      </c>
      <c r="M40" s="1">
        <f t="shared" si="0"/>
        <v>11892.638123577604</v>
      </c>
    </row>
    <row r="41" spans="1:13">
      <c r="A41" s="17" t="s">
        <v>14</v>
      </c>
      <c r="F41" s="15"/>
      <c r="J41">
        <f t="shared" si="1"/>
        <v>70</v>
      </c>
      <c r="K41" s="31">
        <f t="shared" si="2"/>
        <v>213881.93227444909</v>
      </c>
      <c r="L41" s="1">
        <f t="shared" si="10"/>
        <v>8555.2772909779633</v>
      </c>
      <c r="M41" s="1">
        <f t="shared" si="0"/>
        <v>11510.571940591732</v>
      </c>
    </row>
    <row r="42" spans="1:13">
      <c r="A42" s="18" t="s">
        <v>3</v>
      </c>
      <c r="B42" s="2">
        <v>25</v>
      </c>
      <c r="C42" s="2">
        <v>35</v>
      </c>
      <c r="D42" s="2">
        <v>45</v>
      </c>
      <c r="E42" s="2">
        <v>55</v>
      </c>
      <c r="F42" s="19" t="s">
        <v>8</v>
      </c>
      <c r="J42">
        <f t="shared" si="1"/>
        <v>71</v>
      </c>
      <c r="K42" s="31">
        <f t="shared" si="2"/>
        <v>222950.52620288573</v>
      </c>
      <c r="L42" s="1">
        <f t="shared" si="10"/>
        <v>8918.0210481154299</v>
      </c>
      <c r="M42" s="1">
        <f t="shared" si="0"/>
        <v>11140.780121516083</v>
      </c>
    </row>
    <row r="43" spans="1:13">
      <c r="A43" s="16">
        <v>55</v>
      </c>
      <c r="B43" s="29">
        <f>B15/$F$43</f>
        <v>22648.46535188413</v>
      </c>
      <c r="C43" s="1">
        <f t="shared" ref="C43:E43" si="11">C15/$F$43</f>
        <v>8282.4575199180272</v>
      </c>
      <c r="D43" s="1">
        <f t="shared" si="11"/>
        <v>2291.4787591779232</v>
      </c>
      <c r="E43" s="1">
        <f t="shared" si="11"/>
        <v>0</v>
      </c>
      <c r="F43" s="20">
        <f>PPAfactors!C58</f>
        <v>14.755301713282661</v>
      </c>
      <c r="J43">
        <f t="shared" si="1"/>
        <v>72</v>
      </c>
      <c r="K43" s="31">
        <f t="shared" si="2"/>
        <v>232403.62851388808</v>
      </c>
      <c r="L43" s="1">
        <f t="shared" si="10"/>
        <v>9296.1451405555235</v>
      </c>
      <c r="M43" s="1">
        <f t="shared" si="0"/>
        <v>10782.868336739428</v>
      </c>
    </row>
    <row r="44" spans="1:13">
      <c r="A44" s="16">
        <v>65</v>
      </c>
      <c r="B44" s="1">
        <f>B16/$F$28</f>
        <v>67793.9257004307</v>
      </c>
      <c r="C44" s="1">
        <f t="shared" ref="C44:E44" si="12">C16/$F$28</f>
        <v>27655.776500080556</v>
      </c>
      <c r="D44" s="29">
        <f t="shared" si="12"/>
        <v>10113.612135897283</v>
      </c>
      <c r="E44" s="1">
        <f t="shared" si="12"/>
        <v>2798.0979476490038</v>
      </c>
      <c r="F44" s="15"/>
      <c r="J44">
        <f t="shared" si="1"/>
        <v>73</v>
      </c>
      <c r="K44" s="31">
        <f t="shared" si="2"/>
        <v>242257.54236287693</v>
      </c>
      <c r="L44" s="1">
        <f t="shared" si="10"/>
        <v>9690.3016945150775</v>
      </c>
      <c r="M44" s="1">
        <f t="shared" si="0"/>
        <v>10436.454924992739</v>
      </c>
    </row>
    <row r="45" spans="1:13">
      <c r="A45" s="16">
        <v>75</v>
      </c>
      <c r="B45" s="1">
        <f>B17/$F$29</f>
        <v>215089.23737872482</v>
      </c>
      <c r="C45" s="29">
        <f t="shared" ref="C45:E45" si="13">C17/$F$29</f>
        <v>92831.190155355143</v>
      </c>
      <c r="D45" s="1">
        <f t="shared" si="13"/>
        <v>37869.449521443923</v>
      </c>
      <c r="E45" s="1">
        <f t="shared" si="13"/>
        <v>13848.713459870101</v>
      </c>
      <c r="F45" s="15"/>
      <c r="J45">
        <f t="shared" si="1"/>
        <v>74</v>
      </c>
      <c r="K45" s="31">
        <f t="shared" si="2"/>
        <v>252529.26215906293</v>
      </c>
      <c r="L45" s="1">
        <f t="shared" si="10"/>
        <v>10101.170486362518</v>
      </c>
      <c r="M45" s="1">
        <f t="shared" si="0"/>
        <v>10101.170486362518</v>
      </c>
    </row>
    <row r="46" spans="1:13">
      <c r="A46" s="14"/>
      <c r="B46" s="1"/>
      <c r="C46" s="1"/>
      <c r="D46" s="1"/>
      <c r="E46" s="1"/>
      <c r="F46" s="15"/>
    </row>
    <row r="47" spans="1:13">
      <c r="A47" s="14"/>
      <c r="F47" s="15"/>
      <c r="L47" s="10" t="s">
        <v>29</v>
      </c>
      <c r="M47" s="30">
        <f>SUM(M6:M45)</f>
        <v>819203.50224297808</v>
      </c>
    </row>
    <row r="48" spans="1:13">
      <c r="A48" s="16" t="s">
        <v>24</v>
      </c>
      <c r="F48" s="15"/>
    </row>
    <row r="49" spans="1:6">
      <c r="A49" s="14"/>
      <c r="F49" s="15"/>
    </row>
    <row r="50" spans="1:6">
      <c r="A50" s="17" t="s">
        <v>25</v>
      </c>
      <c r="B50" s="28">
        <v>1.4999999999999999E-2</v>
      </c>
      <c r="F50" s="15"/>
    </row>
    <row r="51" spans="1:6">
      <c r="A51" s="14"/>
      <c r="F51" s="15"/>
    </row>
    <row r="52" spans="1:6">
      <c r="A52" s="14"/>
      <c r="B52" s="2" t="s">
        <v>23</v>
      </c>
      <c r="F52" s="15"/>
    </row>
    <row r="53" spans="1:6">
      <c r="A53" s="17" t="s">
        <v>14</v>
      </c>
      <c r="B53" s="2">
        <v>25</v>
      </c>
      <c r="C53" s="2">
        <v>35</v>
      </c>
      <c r="D53" s="2">
        <v>45</v>
      </c>
      <c r="E53" s="2">
        <v>55</v>
      </c>
      <c r="F53" s="19" t="s">
        <v>8</v>
      </c>
    </row>
    <row r="54" spans="1:6">
      <c r="A54" s="18" t="s">
        <v>3</v>
      </c>
      <c r="F54" s="15"/>
    </row>
    <row r="55" spans="1:6">
      <c r="A55" s="16">
        <v>55</v>
      </c>
      <c r="B55" s="31">
        <f>B27/$F$43</f>
        <v>31854.4236055769</v>
      </c>
      <c r="C55" s="1">
        <f t="shared" ref="C55:E55" si="14">C27/$F$43</f>
        <v>14019.562626138108</v>
      </c>
      <c r="D55" s="1">
        <f t="shared" si="14"/>
        <v>4627.6493336187177</v>
      </c>
      <c r="E55" s="1">
        <f t="shared" si="14"/>
        <v>0</v>
      </c>
      <c r="F55" s="15">
        <f>PPAfactors!D86</f>
        <v>6.0442458340857188</v>
      </c>
    </row>
    <row r="56" spans="1:6">
      <c r="A56" s="16">
        <v>65</v>
      </c>
      <c r="B56" s="1">
        <f>B28/$F$28</f>
        <v>139682.74698157975</v>
      </c>
      <c r="C56" s="1">
        <f t="shared" ref="C56:E56" si="15">C28/$F$28</f>
        <v>69160.799258692787</v>
      </c>
      <c r="D56" s="31">
        <f t="shared" si="15"/>
        <v>30438.603080272238</v>
      </c>
      <c r="E56" s="1">
        <f t="shared" si="15"/>
        <v>10047.330649109428</v>
      </c>
      <c r="F56" s="15">
        <f>PPAfactors!D96</f>
        <v>3.3986017784025657</v>
      </c>
    </row>
    <row r="57" spans="1:6">
      <c r="A57" s="16">
        <v>75</v>
      </c>
      <c r="B57" s="1">
        <f>B29/$F$29</f>
        <v>264482.41832964274</v>
      </c>
      <c r="C57" s="31">
        <f t="shared" ref="C57:E57" si="16">C29/$F$29</f>
        <v>139682.74698157975</v>
      </c>
      <c r="D57" s="1">
        <f t="shared" si="16"/>
        <v>69160.799258692787</v>
      </c>
      <c r="E57" s="1">
        <f t="shared" si="16"/>
        <v>30438.603080272242</v>
      </c>
      <c r="F57" s="15">
        <f>PPAfactors!D106</f>
        <v>2.2799059106568431</v>
      </c>
    </row>
    <row r="58" spans="1:6">
      <c r="A58" s="14"/>
      <c r="F58" s="15"/>
    </row>
    <row r="59" spans="1:6">
      <c r="A59" s="16" t="s">
        <v>20</v>
      </c>
      <c r="B59" s="2" t="s">
        <v>23</v>
      </c>
      <c r="F59" s="15"/>
    </row>
    <row r="60" spans="1:6">
      <c r="A60" s="17" t="s">
        <v>14</v>
      </c>
      <c r="F60" s="15"/>
    </row>
    <row r="61" spans="1:6">
      <c r="A61" s="18" t="s">
        <v>3</v>
      </c>
      <c r="B61" s="2">
        <v>25</v>
      </c>
      <c r="C61" s="2">
        <v>35</v>
      </c>
      <c r="D61" s="2">
        <v>45</v>
      </c>
      <c r="E61" s="2">
        <v>55</v>
      </c>
      <c r="F61" s="19" t="s">
        <v>8</v>
      </c>
    </row>
    <row r="62" spans="1:6">
      <c r="A62" s="16">
        <v>55</v>
      </c>
      <c r="B62" s="34">
        <f>B34/$F$43</f>
        <v>13219.909225894766</v>
      </c>
      <c r="C62" s="1">
        <f t="shared" ref="C62:E62" si="17">C34/$F$43</f>
        <v>4834.4704543761527</v>
      </c>
      <c r="D62" s="1">
        <f t="shared" si="17"/>
        <v>1337.5361517321537</v>
      </c>
      <c r="E62" s="1">
        <f t="shared" si="17"/>
        <v>0</v>
      </c>
      <c r="F62" s="20">
        <v>0.5837</v>
      </c>
    </row>
    <row r="63" spans="1:6">
      <c r="A63" s="16">
        <v>65</v>
      </c>
      <c r="B63" s="1">
        <f>B35/$F$28</f>
        <v>39571.314431341401</v>
      </c>
      <c r="C63" s="1">
        <f t="shared" ref="C63:E63" si="18">C35/$F$28</f>
        <v>16142.676743097019</v>
      </c>
      <c r="D63" s="34">
        <f t="shared" si="18"/>
        <v>5903.3154037232443</v>
      </c>
      <c r="E63" s="1">
        <f t="shared" si="18"/>
        <v>1633.2497720427236</v>
      </c>
      <c r="F63" s="15"/>
    </row>
    <row r="64" spans="1:6">
      <c r="A64" s="16">
        <v>75</v>
      </c>
      <c r="B64" s="1">
        <f>B36/$F$29</f>
        <v>125547.58785796167</v>
      </c>
      <c r="C64" s="34">
        <f t="shared" ref="C64:E64" si="19">C36/$F$29</f>
        <v>54185.565693680801</v>
      </c>
      <c r="D64" s="1">
        <f t="shared" si="19"/>
        <v>22104.39768566682</v>
      </c>
      <c r="E64" s="1">
        <f t="shared" si="19"/>
        <v>8083.4940465261789</v>
      </c>
      <c r="F64" s="15"/>
    </row>
    <row r="65" spans="1:6" ht="15.75" thickBot="1">
      <c r="A65" s="21"/>
      <c r="B65" s="22"/>
      <c r="C65" s="22"/>
      <c r="D65" s="22"/>
      <c r="E65" s="22"/>
      <c r="F65" s="2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D123"/>
  <sheetViews>
    <sheetView workbookViewId="0">
      <selection activeCell="C49" sqref="C49"/>
    </sheetView>
  </sheetViews>
  <sheetFormatPr defaultRowHeight="12.75"/>
  <cols>
    <col min="1" max="1" width="6.42578125" style="6" customWidth="1"/>
    <col min="2" max="2" width="10.28515625" style="6" customWidth="1"/>
    <col min="3" max="3" width="11.42578125" style="6" customWidth="1"/>
    <col min="4" max="4" width="11.28515625" style="6" customWidth="1"/>
    <col min="5" max="246" width="9.28515625" style="6"/>
    <col min="247" max="247" width="6.42578125" style="6" customWidth="1"/>
    <col min="248" max="248" width="10.28515625" style="6" customWidth="1"/>
    <col min="249" max="249" width="11.42578125" style="6" customWidth="1"/>
    <col min="250" max="250" width="11.28515625" style="6" customWidth="1"/>
    <col min="251" max="251" width="5.5703125" style="6" customWidth="1"/>
    <col min="252" max="252" width="6.42578125" style="6" customWidth="1"/>
    <col min="253" max="253" width="9.28515625" style="6"/>
    <col min="254" max="254" width="11.7109375" style="6" customWidth="1"/>
    <col min="255" max="255" width="10.7109375" style="6" customWidth="1"/>
    <col min="256" max="256" width="5.5703125" style="6" customWidth="1"/>
    <col min="257" max="257" width="6.42578125" style="6" customWidth="1"/>
    <col min="258" max="258" width="9.28515625" style="6"/>
    <col min="259" max="259" width="11.28515625" style="6" customWidth="1"/>
    <col min="260" max="260" width="10.5703125" style="6" customWidth="1"/>
    <col min="261" max="502" width="9.28515625" style="6"/>
    <col min="503" max="503" width="6.42578125" style="6" customWidth="1"/>
    <col min="504" max="504" width="10.28515625" style="6" customWidth="1"/>
    <col min="505" max="505" width="11.42578125" style="6" customWidth="1"/>
    <col min="506" max="506" width="11.28515625" style="6" customWidth="1"/>
    <col min="507" max="507" width="5.5703125" style="6" customWidth="1"/>
    <col min="508" max="508" width="6.42578125" style="6" customWidth="1"/>
    <col min="509" max="509" width="9.28515625" style="6"/>
    <col min="510" max="510" width="11.7109375" style="6" customWidth="1"/>
    <col min="511" max="511" width="10.7109375" style="6" customWidth="1"/>
    <col min="512" max="512" width="5.5703125" style="6" customWidth="1"/>
    <col min="513" max="513" width="6.42578125" style="6" customWidth="1"/>
    <col min="514" max="514" width="9.28515625" style="6"/>
    <col min="515" max="515" width="11.28515625" style="6" customWidth="1"/>
    <col min="516" max="516" width="10.5703125" style="6" customWidth="1"/>
    <col min="517" max="758" width="9.28515625" style="6"/>
    <col min="759" max="759" width="6.42578125" style="6" customWidth="1"/>
    <col min="760" max="760" width="10.28515625" style="6" customWidth="1"/>
    <col min="761" max="761" width="11.42578125" style="6" customWidth="1"/>
    <col min="762" max="762" width="11.28515625" style="6" customWidth="1"/>
    <col min="763" max="763" width="5.5703125" style="6" customWidth="1"/>
    <col min="764" max="764" width="6.42578125" style="6" customWidth="1"/>
    <col min="765" max="765" width="9.28515625" style="6"/>
    <col min="766" max="766" width="11.7109375" style="6" customWidth="1"/>
    <col min="767" max="767" width="10.7109375" style="6" customWidth="1"/>
    <col min="768" max="768" width="5.5703125" style="6" customWidth="1"/>
    <col min="769" max="769" width="6.42578125" style="6" customWidth="1"/>
    <col min="770" max="770" width="9.28515625" style="6"/>
    <col min="771" max="771" width="11.28515625" style="6" customWidth="1"/>
    <col min="772" max="772" width="10.5703125" style="6" customWidth="1"/>
    <col min="773" max="1014" width="9.28515625" style="6"/>
    <col min="1015" max="1015" width="6.42578125" style="6" customWidth="1"/>
    <col min="1016" max="1016" width="10.28515625" style="6" customWidth="1"/>
    <col min="1017" max="1017" width="11.42578125" style="6" customWidth="1"/>
    <col min="1018" max="1018" width="11.28515625" style="6" customWidth="1"/>
    <col min="1019" max="1019" width="5.5703125" style="6" customWidth="1"/>
    <col min="1020" max="1020" width="6.42578125" style="6" customWidth="1"/>
    <col min="1021" max="1021" width="9.28515625" style="6"/>
    <col min="1022" max="1022" width="11.7109375" style="6" customWidth="1"/>
    <col min="1023" max="1023" width="10.7109375" style="6" customWidth="1"/>
    <col min="1024" max="1024" width="5.5703125" style="6" customWidth="1"/>
    <col min="1025" max="1025" width="6.42578125" style="6" customWidth="1"/>
    <col min="1026" max="1026" width="9.28515625" style="6"/>
    <col min="1027" max="1027" width="11.28515625" style="6" customWidth="1"/>
    <col min="1028" max="1028" width="10.5703125" style="6" customWidth="1"/>
    <col min="1029" max="1270" width="9.28515625" style="6"/>
    <col min="1271" max="1271" width="6.42578125" style="6" customWidth="1"/>
    <col min="1272" max="1272" width="10.28515625" style="6" customWidth="1"/>
    <col min="1273" max="1273" width="11.42578125" style="6" customWidth="1"/>
    <col min="1274" max="1274" width="11.28515625" style="6" customWidth="1"/>
    <col min="1275" max="1275" width="5.5703125" style="6" customWidth="1"/>
    <col min="1276" max="1276" width="6.42578125" style="6" customWidth="1"/>
    <col min="1277" max="1277" width="9.28515625" style="6"/>
    <col min="1278" max="1278" width="11.7109375" style="6" customWidth="1"/>
    <col min="1279" max="1279" width="10.7109375" style="6" customWidth="1"/>
    <col min="1280" max="1280" width="5.5703125" style="6" customWidth="1"/>
    <col min="1281" max="1281" width="6.42578125" style="6" customWidth="1"/>
    <col min="1282" max="1282" width="9.28515625" style="6"/>
    <col min="1283" max="1283" width="11.28515625" style="6" customWidth="1"/>
    <col min="1284" max="1284" width="10.5703125" style="6" customWidth="1"/>
    <col min="1285" max="1526" width="9.28515625" style="6"/>
    <col min="1527" max="1527" width="6.42578125" style="6" customWidth="1"/>
    <col min="1528" max="1528" width="10.28515625" style="6" customWidth="1"/>
    <col min="1529" max="1529" width="11.42578125" style="6" customWidth="1"/>
    <col min="1530" max="1530" width="11.28515625" style="6" customWidth="1"/>
    <col min="1531" max="1531" width="5.5703125" style="6" customWidth="1"/>
    <col min="1532" max="1532" width="6.42578125" style="6" customWidth="1"/>
    <col min="1533" max="1533" width="9.28515625" style="6"/>
    <col min="1534" max="1534" width="11.7109375" style="6" customWidth="1"/>
    <col min="1535" max="1535" width="10.7109375" style="6" customWidth="1"/>
    <col min="1536" max="1536" width="5.5703125" style="6" customWidth="1"/>
    <col min="1537" max="1537" width="6.42578125" style="6" customWidth="1"/>
    <col min="1538" max="1538" width="9.28515625" style="6"/>
    <col min="1539" max="1539" width="11.28515625" style="6" customWidth="1"/>
    <col min="1540" max="1540" width="10.5703125" style="6" customWidth="1"/>
    <col min="1541" max="1782" width="9.28515625" style="6"/>
    <col min="1783" max="1783" width="6.42578125" style="6" customWidth="1"/>
    <col min="1784" max="1784" width="10.28515625" style="6" customWidth="1"/>
    <col min="1785" max="1785" width="11.42578125" style="6" customWidth="1"/>
    <col min="1786" max="1786" width="11.28515625" style="6" customWidth="1"/>
    <col min="1787" max="1787" width="5.5703125" style="6" customWidth="1"/>
    <col min="1788" max="1788" width="6.42578125" style="6" customWidth="1"/>
    <col min="1789" max="1789" width="9.28515625" style="6"/>
    <col min="1790" max="1790" width="11.7109375" style="6" customWidth="1"/>
    <col min="1791" max="1791" width="10.7109375" style="6" customWidth="1"/>
    <col min="1792" max="1792" width="5.5703125" style="6" customWidth="1"/>
    <col min="1793" max="1793" width="6.42578125" style="6" customWidth="1"/>
    <col min="1794" max="1794" width="9.28515625" style="6"/>
    <col min="1795" max="1795" width="11.28515625" style="6" customWidth="1"/>
    <col min="1796" max="1796" width="10.5703125" style="6" customWidth="1"/>
    <col min="1797" max="2038" width="9.28515625" style="6"/>
    <col min="2039" max="2039" width="6.42578125" style="6" customWidth="1"/>
    <col min="2040" max="2040" width="10.28515625" style="6" customWidth="1"/>
    <col min="2041" max="2041" width="11.42578125" style="6" customWidth="1"/>
    <col min="2042" max="2042" width="11.28515625" style="6" customWidth="1"/>
    <col min="2043" max="2043" width="5.5703125" style="6" customWidth="1"/>
    <col min="2044" max="2044" width="6.42578125" style="6" customWidth="1"/>
    <col min="2045" max="2045" width="9.28515625" style="6"/>
    <col min="2046" max="2046" width="11.7109375" style="6" customWidth="1"/>
    <col min="2047" max="2047" width="10.7109375" style="6" customWidth="1"/>
    <col min="2048" max="2048" width="5.5703125" style="6" customWidth="1"/>
    <col min="2049" max="2049" width="6.42578125" style="6" customWidth="1"/>
    <col min="2050" max="2050" width="9.28515625" style="6"/>
    <col min="2051" max="2051" width="11.28515625" style="6" customWidth="1"/>
    <col min="2052" max="2052" width="10.5703125" style="6" customWidth="1"/>
    <col min="2053" max="2294" width="9.28515625" style="6"/>
    <col min="2295" max="2295" width="6.42578125" style="6" customWidth="1"/>
    <col min="2296" max="2296" width="10.28515625" style="6" customWidth="1"/>
    <col min="2297" max="2297" width="11.42578125" style="6" customWidth="1"/>
    <col min="2298" max="2298" width="11.28515625" style="6" customWidth="1"/>
    <col min="2299" max="2299" width="5.5703125" style="6" customWidth="1"/>
    <col min="2300" max="2300" width="6.42578125" style="6" customWidth="1"/>
    <col min="2301" max="2301" width="9.28515625" style="6"/>
    <col min="2302" max="2302" width="11.7109375" style="6" customWidth="1"/>
    <col min="2303" max="2303" width="10.7109375" style="6" customWidth="1"/>
    <col min="2304" max="2304" width="5.5703125" style="6" customWidth="1"/>
    <col min="2305" max="2305" width="6.42578125" style="6" customWidth="1"/>
    <col min="2306" max="2306" width="9.28515625" style="6"/>
    <col min="2307" max="2307" width="11.28515625" style="6" customWidth="1"/>
    <col min="2308" max="2308" width="10.5703125" style="6" customWidth="1"/>
    <col min="2309" max="2550" width="9.28515625" style="6"/>
    <col min="2551" max="2551" width="6.42578125" style="6" customWidth="1"/>
    <col min="2552" max="2552" width="10.28515625" style="6" customWidth="1"/>
    <col min="2553" max="2553" width="11.42578125" style="6" customWidth="1"/>
    <col min="2554" max="2554" width="11.28515625" style="6" customWidth="1"/>
    <col min="2555" max="2555" width="5.5703125" style="6" customWidth="1"/>
    <col min="2556" max="2556" width="6.42578125" style="6" customWidth="1"/>
    <col min="2557" max="2557" width="9.28515625" style="6"/>
    <col min="2558" max="2558" width="11.7109375" style="6" customWidth="1"/>
    <col min="2559" max="2559" width="10.7109375" style="6" customWidth="1"/>
    <col min="2560" max="2560" width="5.5703125" style="6" customWidth="1"/>
    <col min="2561" max="2561" width="6.42578125" style="6" customWidth="1"/>
    <col min="2562" max="2562" width="9.28515625" style="6"/>
    <col min="2563" max="2563" width="11.28515625" style="6" customWidth="1"/>
    <col min="2564" max="2564" width="10.5703125" style="6" customWidth="1"/>
    <col min="2565" max="2806" width="9.28515625" style="6"/>
    <col min="2807" max="2807" width="6.42578125" style="6" customWidth="1"/>
    <col min="2808" max="2808" width="10.28515625" style="6" customWidth="1"/>
    <col min="2809" max="2809" width="11.42578125" style="6" customWidth="1"/>
    <col min="2810" max="2810" width="11.28515625" style="6" customWidth="1"/>
    <col min="2811" max="2811" width="5.5703125" style="6" customWidth="1"/>
    <col min="2812" max="2812" width="6.42578125" style="6" customWidth="1"/>
    <col min="2813" max="2813" width="9.28515625" style="6"/>
    <col min="2814" max="2814" width="11.7109375" style="6" customWidth="1"/>
    <col min="2815" max="2815" width="10.7109375" style="6" customWidth="1"/>
    <col min="2816" max="2816" width="5.5703125" style="6" customWidth="1"/>
    <col min="2817" max="2817" width="6.42578125" style="6" customWidth="1"/>
    <col min="2818" max="2818" width="9.28515625" style="6"/>
    <col min="2819" max="2819" width="11.28515625" style="6" customWidth="1"/>
    <col min="2820" max="2820" width="10.5703125" style="6" customWidth="1"/>
    <col min="2821" max="3062" width="9.28515625" style="6"/>
    <col min="3063" max="3063" width="6.42578125" style="6" customWidth="1"/>
    <col min="3064" max="3064" width="10.28515625" style="6" customWidth="1"/>
    <col min="3065" max="3065" width="11.42578125" style="6" customWidth="1"/>
    <col min="3066" max="3066" width="11.28515625" style="6" customWidth="1"/>
    <col min="3067" max="3067" width="5.5703125" style="6" customWidth="1"/>
    <col min="3068" max="3068" width="6.42578125" style="6" customWidth="1"/>
    <col min="3069" max="3069" width="9.28515625" style="6"/>
    <col min="3070" max="3070" width="11.7109375" style="6" customWidth="1"/>
    <col min="3071" max="3071" width="10.7109375" style="6" customWidth="1"/>
    <col min="3072" max="3072" width="5.5703125" style="6" customWidth="1"/>
    <col min="3073" max="3073" width="6.42578125" style="6" customWidth="1"/>
    <col min="3074" max="3074" width="9.28515625" style="6"/>
    <col min="3075" max="3075" width="11.28515625" style="6" customWidth="1"/>
    <col min="3076" max="3076" width="10.5703125" style="6" customWidth="1"/>
    <col min="3077" max="3318" width="9.28515625" style="6"/>
    <col min="3319" max="3319" width="6.42578125" style="6" customWidth="1"/>
    <col min="3320" max="3320" width="10.28515625" style="6" customWidth="1"/>
    <col min="3321" max="3321" width="11.42578125" style="6" customWidth="1"/>
    <col min="3322" max="3322" width="11.28515625" style="6" customWidth="1"/>
    <col min="3323" max="3323" width="5.5703125" style="6" customWidth="1"/>
    <col min="3324" max="3324" width="6.42578125" style="6" customWidth="1"/>
    <col min="3325" max="3325" width="9.28515625" style="6"/>
    <col min="3326" max="3326" width="11.7109375" style="6" customWidth="1"/>
    <col min="3327" max="3327" width="10.7109375" style="6" customWidth="1"/>
    <col min="3328" max="3328" width="5.5703125" style="6" customWidth="1"/>
    <col min="3329" max="3329" width="6.42578125" style="6" customWidth="1"/>
    <col min="3330" max="3330" width="9.28515625" style="6"/>
    <col min="3331" max="3331" width="11.28515625" style="6" customWidth="1"/>
    <col min="3332" max="3332" width="10.5703125" style="6" customWidth="1"/>
    <col min="3333" max="3574" width="9.28515625" style="6"/>
    <col min="3575" max="3575" width="6.42578125" style="6" customWidth="1"/>
    <col min="3576" max="3576" width="10.28515625" style="6" customWidth="1"/>
    <col min="3577" max="3577" width="11.42578125" style="6" customWidth="1"/>
    <col min="3578" max="3578" width="11.28515625" style="6" customWidth="1"/>
    <col min="3579" max="3579" width="5.5703125" style="6" customWidth="1"/>
    <col min="3580" max="3580" width="6.42578125" style="6" customWidth="1"/>
    <col min="3581" max="3581" width="9.28515625" style="6"/>
    <col min="3582" max="3582" width="11.7109375" style="6" customWidth="1"/>
    <col min="3583" max="3583" width="10.7109375" style="6" customWidth="1"/>
    <col min="3584" max="3584" width="5.5703125" style="6" customWidth="1"/>
    <col min="3585" max="3585" width="6.42578125" style="6" customWidth="1"/>
    <col min="3586" max="3586" width="9.28515625" style="6"/>
    <col min="3587" max="3587" width="11.28515625" style="6" customWidth="1"/>
    <col min="3588" max="3588" width="10.5703125" style="6" customWidth="1"/>
    <col min="3589" max="3830" width="9.28515625" style="6"/>
    <col min="3831" max="3831" width="6.42578125" style="6" customWidth="1"/>
    <col min="3832" max="3832" width="10.28515625" style="6" customWidth="1"/>
    <col min="3833" max="3833" width="11.42578125" style="6" customWidth="1"/>
    <col min="3834" max="3834" width="11.28515625" style="6" customWidth="1"/>
    <col min="3835" max="3835" width="5.5703125" style="6" customWidth="1"/>
    <col min="3836" max="3836" width="6.42578125" style="6" customWidth="1"/>
    <col min="3837" max="3837" width="9.28515625" style="6"/>
    <col min="3838" max="3838" width="11.7109375" style="6" customWidth="1"/>
    <col min="3839" max="3839" width="10.7109375" style="6" customWidth="1"/>
    <col min="3840" max="3840" width="5.5703125" style="6" customWidth="1"/>
    <col min="3841" max="3841" width="6.42578125" style="6" customWidth="1"/>
    <col min="3842" max="3842" width="9.28515625" style="6"/>
    <col min="3843" max="3843" width="11.28515625" style="6" customWidth="1"/>
    <col min="3844" max="3844" width="10.5703125" style="6" customWidth="1"/>
    <col min="3845" max="4086" width="9.28515625" style="6"/>
    <col min="4087" max="4087" width="6.42578125" style="6" customWidth="1"/>
    <col min="4088" max="4088" width="10.28515625" style="6" customWidth="1"/>
    <col min="4089" max="4089" width="11.42578125" style="6" customWidth="1"/>
    <col min="4090" max="4090" width="11.28515625" style="6" customWidth="1"/>
    <col min="4091" max="4091" width="5.5703125" style="6" customWidth="1"/>
    <col min="4092" max="4092" width="6.42578125" style="6" customWidth="1"/>
    <col min="4093" max="4093" width="9.28515625" style="6"/>
    <col min="4094" max="4094" width="11.7109375" style="6" customWidth="1"/>
    <col min="4095" max="4095" width="10.7109375" style="6" customWidth="1"/>
    <col min="4096" max="4096" width="5.5703125" style="6" customWidth="1"/>
    <col min="4097" max="4097" width="6.42578125" style="6" customWidth="1"/>
    <col min="4098" max="4098" width="9.28515625" style="6"/>
    <col min="4099" max="4099" width="11.28515625" style="6" customWidth="1"/>
    <col min="4100" max="4100" width="10.5703125" style="6" customWidth="1"/>
    <col min="4101" max="4342" width="9.28515625" style="6"/>
    <col min="4343" max="4343" width="6.42578125" style="6" customWidth="1"/>
    <col min="4344" max="4344" width="10.28515625" style="6" customWidth="1"/>
    <col min="4345" max="4345" width="11.42578125" style="6" customWidth="1"/>
    <col min="4346" max="4346" width="11.28515625" style="6" customWidth="1"/>
    <col min="4347" max="4347" width="5.5703125" style="6" customWidth="1"/>
    <col min="4348" max="4348" width="6.42578125" style="6" customWidth="1"/>
    <col min="4349" max="4349" width="9.28515625" style="6"/>
    <col min="4350" max="4350" width="11.7109375" style="6" customWidth="1"/>
    <col min="4351" max="4351" width="10.7109375" style="6" customWidth="1"/>
    <col min="4352" max="4352" width="5.5703125" style="6" customWidth="1"/>
    <col min="4353" max="4353" width="6.42578125" style="6" customWidth="1"/>
    <col min="4354" max="4354" width="9.28515625" style="6"/>
    <col min="4355" max="4355" width="11.28515625" style="6" customWidth="1"/>
    <col min="4356" max="4356" width="10.5703125" style="6" customWidth="1"/>
    <col min="4357" max="4598" width="9.28515625" style="6"/>
    <col min="4599" max="4599" width="6.42578125" style="6" customWidth="1"/>
    <col min="4600" max="4600" width="10.28515625" style="6" customWidth="1"/>
    <col min="4601" max="4601" width="11.42578125" style="6" customWidth="1"/>
    <col min="4602" max="4602" width="11.28515625" style="6" customWidth="1"/>
    <col min="4603" max="4603" width="5.5703125" style="6" customWidth="1"/>
    <col min="4604" max="4604" width="6.42578125" style="6" customWidth="1"/>
    <col min="4605" max="4605" width="9.28515625" style="6"/>
    <col min="4606" max="4606" width="11.7109375" style="6" customWidth="1"/>
    <col min="4607" max="4607" width="10.7109375" style="6" customWidth="1"/>
    <col min="4608" max="4608" width="5.5703125" style="6" customWidth="1"/>
    <col min="4609" max="4609" width="6.42578125" style="6" customWidth="1"/>
    <col min="4610" max="4610" width="9.28515625" style="6"/>
    <col min="4611" max="4611" width="11.28515625" style="6" customWidth="1"/>
    <col min="4612" max="4612" width="10.5703125" style="6" customWidth="1"/>
    <col min="4613" max="4854" width="9.28515625" style="6"/>
    <col min="4855" max="4855" width="6.42578125" style="6" customWidth="1"/>
    <col min="4856" max="4856" width="10.28515625" style="6" customWidth="1"/>
    <col min="4857" max="4857" width="11.42578125" style="6" customWidth="1"/>
    <col min="4858" max="4858" width="11.28515625" style="6" customWidth="1"/>
    <col min="4859" max="4859" width="5.5703125" style="6" customWidth="1"/>
    <col min="4860" max="4860" width="6.42578125" style="6" customWidth="1"/>
    <col min="4861" max="4861" width="9.28515625" style="6"/>
    <col min="4862" max="4862" width="11.7109375" style="6" customWidth="1"/>
    <col min="4863" max="4863" width="10.7109375" style="6" customWidth="1"/>
    <col min="4864" max="4864" width="5.5703125" style="6" customWidth="1"/>
    <col min="4865" max="4865" width="6.42578125" style="6" customWidth="1"/>
    <col min="4866" max="4866" width="9.28515625" style="6"/>
    <col min="4867" max="4867" width="11.28515625" style="6" customWidth="1"/>
    <col min="4868" max="4868" width="10.5703125" style="6" customWidth="1"/>
    <col min="4869" max="5110" width="9.28515625" style="6"/>
    <col min="5111" max="5111" width="6.42578125" style="6" customWidth="1"/>
    <col min="5112" max="5112" width="10.28515625" style="6" customWidth="1"/>
    <col min="5113" max="5113" width="11.42578125" style="6" customWidth="1"/>
    <col min="5114" max="5114" width="11.28515625" style="6" customWidth="1"/>
    <col min="5115" max="5115" width="5.5703125" style="6" customWidth="1"/>
    <col min="5116" max="5116" width="6.42578125" style="6" customWidth="1"/>
    <col min="5117" max="5117" width="9.28515625" style="6"/>
    <col min="5118" max="5118" width="11.7109375" style="6" customWidth="1"/>
    <col min="5119" max="5119" width="10.7109375" style="6" customWidth="1"/>
    <col min="5120" max="5120" width="5.5703125" style="6" customWidth="1"/>
    <col min="5121" max="5121" width="6.42578125" style="6" customWidth="1"/>
    <col min="5122" max="5122" width="9.28515625" style="6"/>
    <col min="5123" max="5123" width="11.28515625" style="6" customWidth="1"/>
    <col min="5124" max="5124" width="10.5703125" style="6" customWidth="1"/>
    <col min="5125" max="5366" width="9.28515625" style="6"/>
    <col min="5367" max="5367" width="6.42578125" style="6" customWidth="1"/>
    <col min="5368" max="5368" width="10.28515625" style="6" customWidth="1"/>
    <col min="5369" max="5369" width="11.42578125" style="6" customWidth="1"/>
    <col min="5370" max="5370" width="11.28515625" style="6" customWidth="1"/>
    <col min="5371" max="5371" width="5.5703125" style="6" customWidth="1"/>
    <col min="5372" max="5372" width="6.42578125" style="6" customWidth="1"/>
    <col min="5373" max="5373" width="9.28515625" style="6"/>
    <col min="5374" max="5374" width="11.7109375" style="6" customWidth="1"/>
    <col min="5375" max="5375" width="10.7109375" style="6" customWidth="1"/>
    <col min="5376" max="5376" width="5.5703125" style="6" customWidth="1"/>
    <col min="5377" max="5377" width="6.42578125" style="6" customWidth="1"/>
    <col min="5378" max="5378" width="9.28515625" style="6"/>
    <col min="5379" max="5379" width="11.28515625" style="6" customWidth="1"/>
    <col min="5380" max="5380" width="10.5703125" style="6" customWidth="1"/>
    <col min="5381" max="5622" width="9.28515625" style="6"/>
    <col min="5623" max="5623" width="6.42578125" style="6" customWidth="1"/>
    <col min="5624" max="5624" width="10.28515625" style="6" customWidth="1"/>
    <col min="5625" max="5625" width="11.42578125" style="6" customWidth="1"/>
    <col min="5626" max="5626" width="11.28515625" style="6" customWidth="1"/>
    <col min="5627" max="5627" width="5.5703125" style="6" customWidth="1"/>
    <col min="5628" max="5628" width="6.42578125" style="6" customWidth="1"/>
    <col min="5629" max="5629" width="9.28515625" style="6"/>
    <col min="5630" max="5630" width="11.7109375" style="6" customWidth="1"/>
    <col min="5631" max="5631" width="10.7109375" style="6" customWidth="1"/>
    <col min="5632" max="5632" width="5.5703125" style="6" customWidth="1"/>
    <col min="5633" max="5633" width="6.42578125" style="6" customWidth="1"/>
    <col min="5634" max="5634" width="9.28515625" style="6"/>
    <col min="5635" max="5635" width="11.28515625" style="6" customWidth="1"/>
    <col min="5636" max="5636" width="10.5703125" style="6" customWidth="1"/>
    <col min="5637" max="5878" width="9.28515625" style="6"/>
    <col min="5879" max="5879" width="6.42578125" style="6" customWidth="1"/>
    <col min="5880" max="5880" width="10.28515625" style="6" customWidth="1"/>
    <col min="5881" max="5881" width="11.42578125" style="6" customWidth="1"/>
    <col min="5882" max="5882" width="11.28515625" style="6" customWidth="1"/>
    <col min="5883" max="5883" width="5.5703125" style="6" customWidth="1"/>
    <col min="5884" max="5884" width="6.42578125" style="6" customWidth="1"/>
    <col min="5885" max="5885" width="9.28515625" style="6"/>
    <col min="5886" max="5886" width="11.7109375" style="6" customWidth="1"/>
    <col min="5887" max="5887" width="10.7109375" style="6" customWidth="1"/>
    <col min="5888" max="5888" width="5.5703125" style="6" customWidth="1"/>
    <col min="5889" max="5889" width="6.42578125" style="6" customWidth="1"/>
    <col min="5890" max="5890" width="9.28515625" style="6"/>
    <col min="5891" max="5891" width="11.28515625" style="6" customWidth="1"/>
    <col min="5892" max="5892" width="10.5703125" style="6" customWidth="1"/>
    <col min="5893" max="6134" width="9.28515625" style="6"/>
    <col min="6135" max="6135" width="6.42578125" style="6" customWidth="1"/>
    <col min="6136" max="6136" width="10.28515625" style="6" customWidth="1"/>
    <col min="6137" max="6137" width="11.42578125" style="6" customWidth="1"/>
    <col min="6138" max="6138" width="11.28515625" style="6" customWidth="1"/>
    <col min="6139" max="6139" width="5.5703125" style="6" customWidth="1"/>
    <col min="6140" max="6140" width="6.42578125" style="6" customWidth="1"/>
    <col min="6141" max="6141" width="9.28515625" style="6"/>
    <col min="6142" max="6142" width="11.7109375" style="6" customWidth="1"/>
    <col min="6143" max="6143" width="10.7109375" style="6" customWidth="1"/>
    <col min="6144" max="6144" width="5.5703125" style="6" customWidth="1"/>
    <col min="6145" max="6145" width="6.42578125" style="6" customWidth="1"/>
    <col min="6146" max="6146" width="9.28515625" style="6"/>
    <col min="6147" max="6147" width="11.28515625" style="6" customWidth="1"/>
    <col min="6148" max="6148" width="10.5703125" style="6" customWidth="1"/>
    <col min="6149" max="6390" width="9.28515625" style="6"/>
    <col min="6391" max="6391" width="6.42578125" style="6" customWidth="1"/>
    <col min="6392" max="6392" width="10.28515625" style="6" customWidth="1"/>
    <col min="6393" max="6393" width="11.42578125" style="6" customWidth="1"/>
    <col min="6394" max="6394" width="11.28515625" style="6" customWidth="1"/>
    <col min="6395" max="6395" width="5.5703125" style="6" customWidth="1"/>
    <col min="6396" max="6396" width="6.42578125" style="6" customWidth="1"/>
    <col min="6397" max="6397" width="9.28515625" style="6"/>
    <col min="6398" max="6398" width="11.7109375" style="6" customWidth="1"/>
    <col min="6399" max="6399" width="10.7109375" style="6" customWidth="1"/>
    <col min="6400" max="6400" width="5.5703125" style="6" customWidth="1"/>
    <col min="6401" max="6401" width="6.42578125" style="6" customWidth="1"/>
    <col min="6402" max="6402" width="9.28515625" style="6"/>
    <col min="6403" max="6403" width="11.28515625" style="6" customWidth="1"/>
    <col min="6404" max="6404" width="10.5703125" style="6" customWidth="1"/>
    <col min="6405" max="6646" width="9.28515625" style="6"/>
    <col min="6647" max="6647" width="6.42578125" style="6" customWidth="1"/>
    <col min="6648" max="6648" width="10.28515625" style="6" customWidth="1"/>
    <col min="6649" max="6649" width="11.42578125" style="6" customWidth="1"/>
    <col min="6650" max="6650" width="11.28515625" style="6" customWidth="1"/>
    <col min="6651" max="6651" width="5.5703125" style="6" customWidth="1"/>
    <col min="6652" max="6652" width="6.42578125" style="6" customWidth="1"/>
    <col min="6653" max="6653" width="9.28515625" style="6"/>
    <col min="6654" max="6654" width="11.7109375" style="6" customWidth="1"/>
    <col min="6655" max="6655" width="10.7109375" style="6" customWidth="1"/>
    <col min="6656" max="6656" width="5.5703125" style="6" customWidth="1"/>
    <col min="6657" max="6657" width="6.42578125" style="6" customWidth="1"/>
    <col min="6658" max="6658" width="9.28515625" style="6"/>
    <col min="6659" max="6659" width="11.28515625" style="6" customWidth="1"/>
    <col min="6660" max="6660" width="10.5703125" style="6" customWidth="1"/>
    <col min="6661" max="6902" width="9.28515625" style="6"/>
    <col min="6903" max="6903" width="6.42578125" style="6" customWidth="1"/>
    <col min="6904" max="6904" width="10.28515625" style="6" customWidth="1"/>
    <col min="6905" max="6905" width="11.42578125" style="6" customWidth="1"/>
    <col min="6906" max="6906" width="11.28515625" style="6" customWidth="1"/>
    <col min="6907" max="6907" width="5.5703125" style="6" customWidth="1"/>
    <col min="6908" max="6908" width="6.42578125" style="6" customWidth="1"/>
    <col min="6909" max="6909" width="9.28515625" style="6"/>
    <col min="6910" max="6910" width="11.7109375" style="6" customWidth="1"/>
    <col min="6911" max="6911" width="10.7109375" style="6" customWidth="1"/>
    <col min="6912" max="6912" width="5.5703125" style="6" customWidth="1"/>
    <col min="6913" max="6913" width="6.42578125" style="6" customWidth="1"/>
    <col min="6914" max="6914" width="9.28515625" style="6"/>
    <col min="6915" max="6915" width="11.28515625" style="6" customWidth="1"/>
    <col min="6916" max="6916" width="10.5703125" style="6" customWidth="1"/>
    <col min="6917" max="7158" width="9.28515625" style="6"/>
    <col min="7159" max="7159" width="6.42578125" style="6" customWidth="1"/>
    <col min="7160" max="7160" width="10.28515625" style="6" customWidth="1"/>
    <col min="7161" max="7161" width="11.42578125" style="6" customWidth="1"/>
    <col min="7162" max="7162" width="11.28515625" style="6" customWidth="1"/>
    <col min="7163" max="7163" width="5.5703125" style="6" customWidth="1"/>
    <col min="7164" max="7164" width="6.42578125" style="6" customWidth="1"/>
    <col min="7165" max="7165" width="9.28515625" style="6"/>
    <col min="7166" max="7166" width="11.7109375" style="6" customWidth="1"/>
    <col min="7167" max="7167" width="10.7109375" style="6" customWidth="1"/>
    <col min="7168" max="7168" width="5.5703125" style="6" customWidth="1"/>
    <col min="7169" max="7169" width="6.42578125" style="6" customWidth="1"/>
    <col min="7170" max="7170" width="9.28515625" style="6"/>
    <col min="7171" max="7171" width="11.28515625" style="6" customWidth="1"/>
    <col min="7172" max="7172" width="10.5703125" style="6" customWidth="1"/>
    <col min="7173" max="7414" width="9.28515625" style="6"/>
    <col min="7415" max="7415" width="6.42578125" style="6" customWidth="1"/>
    <col min="7416" max="7416" width="10.28515625" style="6" customWidth="1"/>
    <col min="7417" max="7417" width="11.42578125" style="6" customWidth="1"/>
    <col min="7418" max="7418" width="11.28515625" style="6" customWidth="1"/>
    <col min="7419" max="7419" width="5.5703125" style="6" customWidth="1"/>
    <col min="7420" max="7420" width="6.42578125" style="6" customWidth="1"/>
    <col min="7421" max="7421" width="9.28515625" style="6"/>
    <col min="7422" max="7422" width="11.7109375" style="6" customWidth="1"/>
    <col min="7423" max="7423" width="10.7109375" style="6" customWidth="1"/>
    <col min="7424" max="7424" width="5.5703125" style="6" customWidth="1"/>
    <col min="7425" max="7425" width="6.42578125" style="6" customWidth="1"/>
    <col min="7426" max="7426" width="9.28515625" style="6"/>
    <col min="7427" max="7427" width="11.28515625" style="6" customWidth="1"/>
    <col min="7428" max="7428" width="10.5703125" style="6" customWidth="1"/>
    <col min="7429" max="7670" width="9.28515625" style="6"/>
    <col min="7671" max="7671" width="6.42578125" style="6" customWidth="1"/>
    <col min="7672" max="7672" width="10.28515625" style="6" customWidth="1"/>
    <col min="7673" max="7673" width="11.42578125" style="6" customWidth="1"/>
    <col min="7674" max="7674" width="11.28515625" style="6" customWidth="1"/>
    <col min="7675" max="7675" width="5.5703125" style="6" customWidth="1"/>
    <col min="7676" max="7676" width="6.42578125" style="6" customWidth="1"/>
    <col min="7677" max="7677" width="9.28515625" style="6"/>
    <col min="7678" max="7678" width="11.7109375" style="6" customWidth="1"/>
    <col min="7679" max="7679" width="10.7109375" style="6" customWidth="1"/>
    <col min="7680" max="7680" width="5.5703125" style="6" customWidth="1"/>
    <col min="7681" max="7681" width="6.42578125" style="6" customWidth="1"/>
    <col min="7682" max="7682" width="9.28515625" style="6"/>
    <col min="7683" max="7683" width="11.28515625" style="6" customWidth="1"/>
    <col min="7684" max="7684" width="10.5703125" style="6" customWidth="1"/>
    <col min="7685" max="7926" width="9.28515625" style="6"/>
    <col min="7927" max="7927" width="6.42578125" style="6" customWidth="1"/>
    <col min="7928" max="7928" width="10.28515625" style="6" customWidth="1"/>
    <col min="7929" max="7929" width="11.42578125" style="6" customWidth="1"/>
    <col min="7930" max="7930" width="11.28515625" style="6" customWidth="1"/>
    <col min="7931" max="7931" width="5.5703125" style="6" customWidth="1"/>
    <col min="7932" max="7932" width="6.42578125" style="6" customWidth="1"/>
    <col min="7933" max="7933" width="9.28515625" style="6"/>
    <col min="7934" max="7934" width="11.7109375" style="6" customWidth="1"/>
    <col min="7935" max="7935" width="10.7109375" style="6" customWidth="1"/>
    <col min="7936" max="7936" width="5.5703125" style="6" customWidth="1"/>
    <col min="7937" max="7937" width="6.42578125" style="6" customWidth="1"/>
    <col min="7938" max="7938" width="9.28515625" style="6"/>
    <col min="7939" max="7939" width="11.28515625" style="6" customWidth="1"/>
    <col min="7940" max="7940" width="10.5703125" style="6" customWidth="1"/>
    <col min="7941" max="8182" width="9.28515625" style="6"/>
    <col min="8183" max="8183" width="6.42578125" style="6" customWidth="1"/>
    <col min="8184" max="8184" width="10.28515625" style="6" customWidth="1"/>
    <col min="8185" max="8185" width="11.42578125" style="6" customWidth="1"/>
    <col min="8186" max="8186" width="11.28515625" style="6" customWidth="1"/>
    <col min="8187" max="8187" width="5.5703125" style="6" customWidth="1"/>
    <col min="8188" max="8188" width="6.42578125" style="6" customWidth="1"/>
    <col min="8189" max="8189" width="9.28515625" style="6"/>
    <col min="8190" max="8190" width="11.7109375" style="6" customWidth="1"/>
    <col min="8191" max="8191" width="10.7109375" style="6" customWidth="1"/>
    <col min="8192" max="8192" width="5.5703125" style="6" customWidth="1"/>
    <col min="8193" max="8193" width="6.42578125" style="6" customWidth="1"/>
    <col min="8194" max="8194" width="9.28515625" style="6"/>
    <col min="8195" max="8195" width="11.28515625" style="6" customWidth="1"/>
    <col min="8196" max="8196" width="10.5703125" style="6" customWidth="1"/>
    <col min="8197" max="8438" width="9.28515625" style="6"/>
    <col min="8439" max="8439" width="6.42578125" style="6" customWidth="1"/>
    <col min="8440" max="8440" width="10.28515625" style="6" customWidth="1"/>
    <col min="8441" max="8441" width="11.42578125" style="6" customWidth="1"/>
    <col min="8442" max="8442" width="11.28515625" style="6" customWidth="1"/>
    <col min="8443" max="8443" width="5.5703125" style="6" customWidth="1"/>
    <col min="8444" max="8444" width="6.42578125" style="6" customWidth="1"/>
    <col min="8445" max="8445" width="9.28515625" style="6"/>
    <col min="8446" max="8446" width="11.7109375" style="6" customWidth="1"/>
    <col min="8447" max="8447" width="10.7109375" style="6" customWidth="1"/>
    <col min="8448" max="8448" width="5.5703125" style="6" customWidth="1"/>
    <col min="8449" max="8449" width="6.42578125" style="6" customWidth="1"/>
    <col min="8450" max="8450" width="9.28515625" style="6"/>
    <col min="8451" max="8451" width="11.28515625" style="6" customWidth="1"/>
    <col min="8452" max="8452" width="10.5703125" style="6" customWidth="1"/>
    <col min="8453" max="8694" width="9.28515625" style="6"/>
    <col min="8695" max="8695" width="6.42578125" style="6" customWidth="1"/>
    <col min="8696" max="8696" width="10.28515625" style="6" customWidth="1"/>
    <col min="8697" max="8697" width="11.42578125" style="6" customWidth="1"/>
    <col min="8698" max="8698" width="11.28515625" style="6" customWidth="1"/>
    <col min="8699" max="8699" width="5.5703125" style="6" customWidth="1"/>
    <col min="8700" max="8700" width="6.42578125" style="6" customWidth="1"/>
    <col min="8701" max="8701" width="9.28515625" style="6"/>
    <col min="8702" max="8702" width="11.7109375" style="6" customWidth="1"/>
    <col min="8703" max="8703" width="10.7109375" style="6" customWidth="1"/>
    <col min="8704" max="8704" width="5.5703125" style="6" customWidth="1"/>
    <col min="8705" max="8705" width="6.42578125" style="6" customWidth="1"/>
    <col min="8706" max="8706" width="9.28515625" style="6"/>
    <col min="8707" max="8707" width="11.28515625" style="6" customWidth="1"/>
    <col min="8708" max="8708" width="10.5703125" style="6" customWidth="1"/>
    <col min="8709" max="8950" width="9.28515625" style="6"/>
    <col min="8951" max="8951" width="6.42578125" style="6" customWidth="1"/>
    <col min="8952" max="8952" width="10.28515625" style="6" customWidth="1"/>
    <col min="8953" max="8953" width="11.42578125" style="6" customWidth="1"/>
    <col min="8954" max="8954" width="11.28515625" style="6" customWidth="1"/>
    <col min="8955" max="8955" width="5.5703125" style="6" customWidth="1"/>
    <col min="8956" max="8956" width="6.42578125" style="6" customWidth="1"/>
    <col min="8957" max="8957" width="9.28515625" style="6"/>
    <col min="8958" max="8958" width="11.7109375" style="6" customWidth="1"/>
    <col min="8959" max="8959" width="10.7109375" style="6" customWidth="1"/>
    <col min="8960" max="8960" width="5.5703125" style="6" customWidth="1"/>
    <col min="8961" max="8961" width="6.42578125" style="6" customWidth="1"/>
    <col min="8962" max="8962" width="9.28515625" style="6"/>
    <col min="8963" max="8963" width="11.28515625" style="6" customWidth="1"/>
    <col min="8964" max="8964" width="10.5703125" style="6" customWidth="1"/>
    <col min="8965" max="9206" width="9.28515625" style="6"/>
    <col min="9207" max="9207" width="6.42578125" style="6" customWidth="1"/>
    <col min="9208" max="9208" width="10.28515625" style="6" customWidth="1"/>
    <col min="9209" max="9209" width="11.42578125" style="6" customWidth="1"/>
    <col min="9210" max="9210" width="11.28515625" style="6" customWidth="1"/>
    <col min="9211" max="9211" width="5.5703125" style="6" customWidth="1"/>
    <col min="9212" max="9212" width="6.42578125" style="6" customWidth="1"/>
    <col min="9213" max="9213" width="9.28515625" style="6"/>
    <col min="9214" max="9214" width="11.7109375" style="6" customWidth="1"/>
    <col min="9215" max="9215" width="10.7109375" style="6" customWidth="1"/>
    <col min="9216" max="9216" width="5.5703125" style="6" customWidth="1"/>
    <col min="9217" max="9217" width="6.42578125" style="6" customWidth="1"/>
    <col min="9218" max="9218" width="9.28515625" style="6"/>
    <col min="9219" max="9219" width="11.28515625" style="6" customWidth="1"/>
    <col min="9220" max="9220" width="10.5703125" style="6" customWidth="1"/>
    <col min="9221" max="9462" width="9.28515625" style="6"/>
    <col min="9463" max="9463" width="6.42578125" style="6" customWidth="1"/>
    <col min="9464" max="9464" width="10.28515625" style="6" customWidth="1"/>
    <col min="9465" max="9465" width="11.42578125" style="6" customWidth="1"/>
    <col min="9466" max="9466" width="11.28515625" style="6" customWidth="1"/>
    <col min="9467" max="9467" width="5.5703125" style="6" customWidth="1"/>
    <col min="9468" max="9468" width="6.42578125" style="6" customWidth="1"/>
    <col min="9469" max="9469" width="9.28515625" style="6"/>
    <col min="9470" max="9470" width="11.7109375" style="6" customWidth="1"/>
    <col min="9471" max="9471" width="10.7109375" style="6" customWidth="1"/>
    <col min="9472" max="9472" width="5.5703125" style="6" customWidth="1"/>
    <col min="9473" max="9473" width="6.42578125" style="6" customWidth="1"/>
    <col min="9474" max="9474" width="9.28515625" style="6"/>
    <col min="9475" max="9475" width="11.28515625" style="6" customWidth="1"/>
    <col min="9476" max="9476" width="10.5703125" style="6" customWidth="1"/>
    <col min="9477" max="9718" width="9.28515625" style="6"/>
    <col min="9719" max="9719" width="6.42578125" style="6" customWidth="1"/>
    <col min="9720" max="9720" width="10.28515625" style="6" customWidth="1"/>
    <col min="9721" max="9721" width="11.42578125" style="6" customWidth="1"/>
    <col min="9722" max="9722" width="11.28515625" style="6" customWidth="1"/>
    <col min="9723" max="9723" width="5.5703125" style="6" customWidth="1"/>
    <col min="9724" max="9724" width="6.42578125" style="6" customWidth="1"/>
    <col min="9725" max="9725" width="9.28515625" style="6"/>
    <col min="9726" max="9726" width="11.7109375" style="6" customWidth="1"/>
    <col min="9727" max="9727" width="10.7109375" style="6" customWidth="1"/>
    <col min="9728" max="9728" width="5.5703125" style="6" customWidth="1"/>
    <col min="9729" max="9729" width="6.42578125" style="6" customWidth="1"/>
    <col min="9730" max="9730" width="9.28515625" style="6"/>
    <col min="9731" max="9731" width="11.28515625" style="6" customWidth="1"/>
    <col min="9732" max="9732" width="10.5703125" style="6" customWidth="1"/>
    <col min="9733" max="9974" width="9.28515625" style="6"/>
    <col min="9975" max="9975" width="6.42578125" style="6" customWidth="1"/>
    <col min="9976" max="9976" width="10.28515625" style="6" customWidth="1"/>
    <col min="9977" max="9977" width="11.42578125" style="6" customWidth="1"/>
    <col min="9978" max="9978" width="11.28515625" style="6" customWidth="1"/>
    <col min="9979" max="9979" width="5.5703125" style="6" customWidth="1"/>
    <col min="9980" max="9980" width="6.42578125" style="6" customWidth="1"/>
    <col min="9981" max="9981" width="9.28515625" style="6"/>
    <col min="9982" max="9982" width="11.7109375" style="6" customWidth="1"/>
    <col min="9983" max="9983" width="10.7109375" style="6" customWidth="1"/>
    <col min="9984" max="9984" width="5.5703125" style="6" customWidth="1"/>
    <col min="9985" max="9985" width="6.42578125" style="6" customWidth="1"/>
    <col min="9986" max="9986" width="9.28515625" style="6"/>
    <col min="9987" max="9987" width="11.28515625" style="6" customWidth="1"/>
    <col min="9988" max="9988" width="10.5703125" style="6" customWidth="1"/>
    <col min="9989" max="10230" width="9.28515625" style="6"/>
    <col min="10231" max="10231" width="6.42578125" style="6" customWidth="1"/>
    <col min="10232" max="10232" width="10.28515625" style="6" customWidth="1"/>
    <col min="10233" max="10233" width="11.42578125" style="6" customWidth="1"/>
    <col min="10234" max="10234" width="11.28515625" style="6" customWidth="1"/>
    <col min="10235" max="10235" width="5.5703125" style="6" customWidth="1"/>
    <col min="10236" max="10236" width="6.42578125" style="6" customWidth="1"/>
    <col min="10237" max="10237" width="9.28515625" style="6"/>
    <col min="10238" max="10238" width="11.7109375" style="6" customWidth="1"/>
    <col min="10239" max="10239" width="10.7109375" style="6" customWidth="1"/>
    <col min="10240" max="10240" width="5.5703125" style="6" customWidth="1"/>
    <col min="10241" max="10241" width="6.42578125" style="6" customWidth="1"/>
    <col min="10242" max="10242" width="9.28515625" style="6"/>
    <col min="10243" max="10243" width="11.28515625" style="6" customWidth="1"/>
    <col min="10244" max="10244" width="10.5703125" style="6" customWidth="1"/>
    <col min="10245" max="10486" width="9.28515625" style="6"/>
    <col min="10487" max="10487" width="6.42578125" style="6" customWidth="1"/>
    <col min="10488" max="10488" width="10.28515625" style="6" customWidth="1"/>
    <col min="10489" max="10489" width="11.42578125" style="6" customWidth="1"/>
    <col min="10490" max="10490" width="11.28515625" style="6" customWidth="1"/>
    <col min="10491" max="10491" width="5.5703125" style="6" customWidth="1"/>
    <col min="10492" max="10492" width="6.42578125" style="6" customWidth="1"/>
    <col min="10493" max="10493" width="9.28515625" style="6"/>
    <col min="10494" max="10494" width="11.7109375" style="6" customWidth="1"/>
    <col min="10495" max="10495" width="10.7109375" style="6" customWidth="1"/>
    <col min="10496" max="10496" width="5.5703125" style="6" customWidth="1"/>
    <col min="10497" max="10497" width="6.42578125" style="6" customWidth="1"/>
    <col min="10498" max="10498" width="9.28515625" style="6"/>
    <col min="10499" max="10499" width="11.28515625" style="6" customWidth="1"/>
    <col min="10500" max="10500" width="10.5703125" style="6" customWidth="1"/>
    <col min="10501" max="10742" width="9.28515625" style="6"/>
    <col min="10743" max="10743" width="6.42578125" style="6" customWidth="1"/>
    <col min="10744" max="10744" width="10.28515625" style="6" customWidth="1"/>
    <col min="10745" max="10745" width="11.42578125" style="6" customWidth="1"/>
    <col min="10746" max="10746" width="11.28515625" style="6" customWidth="1"/>
    <col min="10747" max="10747" width="5.5703125" style="6" customWidth="1"/>
    <col min="10748" max="10748" width="6.42578125" style="6" customWidth="1"/>
    <col min="10749" max="10749" width="9.28515625" style="6"/>
    <col min="10750" max="10750" width="11.7109375" style="6" customWidth="1"/>
    <col min="10751" max="10751" width="10.7109375" style="6" customWidth="1"/>
    <col min="10752" max="10752" width="5.5703125" style="6" customWidth="1"/>
    <col min="10753" max="10753" width="6.42578125" style="6" customWidth="1"/>
    <col min="10754" max="10754" width="9.28515625" style="6"/>
    <col min="10755" max="10755" width="11.28515625" style="6" customWidth="1"/>
    <col min="10756" max="10756" width="10.5703125" style="6" customWidth="1"/>
    <col min="10757" max="10998" width="9.28515625" style="6"/>
    <col min="10999" max="10999" width="6.42578125" style="6" customWidth="1"/>
    <col min="11000" max="11000" width="10.28515625" style="6" customWidth="1"/>
    <col min="11001" max="11001" width="11.42578125" style="6" customWidth="1"/>
    <col min="11002" max="11002" width="11.28515625" style="6" customWidth="1"/>
    <col min="11003" max="11003" width="5.5703125" style="6" customWidth="1"/>
    <col min="11004" max="11004" width="6.42578125" style="6" customWidth="1"/>
    <col min="11005" max="11005" width="9.28515625" style="6"/>
    <col min="11006" max="11006" width="11.7109375" style="6" customWidth="1"/>
    <col min="11007" max="11007" width="10.7109375" style="6" customWidth="1"/>
    <col min="11008" max="11008" width="5.5703125" style="6" customWidth="1"/>
    <col min="11009" max="11009" width="6.42578125" style="6" customWidth="1"/>
    <col min="11010" max="11010" width="9.28515625" style="6"/>
    <col min="11011" max="11011" width="11.28515625" style="6" customWidth="1"/>
    <col min="11012" max="11012" width="10.5703125" style="6" customWidth="1"/>
    <col min="11013" max="11254" width="9.28515625" style="6"/>
    <col min="11255" max="11255" width="6.42578125" style="6" customWidth="1"/>
    <col min="11256" max="11256" width="10.28515625" style="6" customWidth="1"/>
    <col min="11257" max="11257" width="11.42578125" style="6" customWidth="1"/>
    <col min="11258" max="11258" width="11.28515625" style="6" customWidth="1"/>
    <col min="11259" max="11259" width="5.5703125" style="6" customWidth="1"/>
    <col min="11260" max="11260" width="6.42578125" style="6" customWidth="1"/>
    <col min="11261" max="11261" width="9.28515625" style="6"/>
    <col min="11262" max="11262" width="11.7109375" style="6" customWidth="1"/>
    <col min="11263" max="11263" width="10.7109375" style="6" customWidth="1"/>
    <col min="11264" max="11264" width="5.5703125" style="6" customWidth="1"/>
    <col min="11265" max="11265" width="6.42578125" style="6" customWidth="1"/>
    <col min="11266" max="11266" width="9.28515625" style="6"/>
    <col min="11267" max="11267" width="11.28515625" style="6" customWidth="1"/>
    <col min="11268" max="11268" width="10.5703125" style="6" customWidth="1"/>
    <col min="11269" max="11510" width="9.28515625" style="6"/>
    <col min="11511" max="11511" width="6.42578125" style="6" customWidth="1"/>
    <col min="11512" max="11512" width="10.28515625" style="6" customWidth="1"/>
    <col min="11513" max="11513" width="11.42578125" style="6" customWidth="1"/>
    <col min="11514" max="11514" width="11.28515625" style="6" customWidth="1"/>
    <col min="11515" max="11515" width="5.5703125" style="6" customWidth="1"/>
    <col min="11516" max="11516" width="6.42578125" style="6" customWidth="1"/>
    <col min="11517" max="11517" width="9.28515625" style="6"/>
    <col min="11518" max="11518" width="11.7109375" style="6" customWidth="1"/>
    <col min="11519" max="11519" width="10.7109375" style="6" customWidth="1"/>
    <col min="11520" max="11520" width="5.5703125" style="6" customWidth="1"/>
    <col min="11521" max="11521" width="6.42578125" style="6" customWidth="1"/>
    <col min="11522" max="11522" width="9.28515625" style="6"/>
    <col min="11523" max="11523" width="11.28515625" style="6" customWidth="1"/>
    <col min="11524" max="11524" width="10.5703125" style="6" customWidth="1"/>
    <col min="11525" max="11766" width="9.28515625" style="6"/>
    <col min="11767" max="11767" width="6.42578125" style="6" customWidth="1"/>
    <col min="11768" max="11768" width="10.28515625" style="6" customWidth="1"/>
    <col min="11769" max="11769" width="11.42578125" style="6" customWidth="1"/>
    <col min="11770" max="11770" width="11.28515625" style="6" customWidth="1"/>
    <col min="11771" max="11771" width="5.5703125" style="6" customWidth="1"/>
    <col min="11772" max="11772" width="6.42578125" style="6" customWidth="1"/>
    <col min="11773" max="11773" width="9.28515625" style="6"/>
    <col min="11774" max="11774" width="11.7109375" style="6" customWidth="1"/>
    <col min="11775" max="11775" width="10.7109375" style="6" customWidth="1"/>
    <col min="11776" max="11776" width="5.5703125" style="6" customWidth="1"/>
    <col min="11777" max="11777" width="6.42578125" style="6" customWidth="1"/>
    <col min="11778" max="11778" width="9.28515625" style="6"/>
    <col min="11779" max="11779" width="11.28515625" style="6" customWidth="1"/>
    <col min="11780" max="11780" width="10.5703125" style="6" customWidth="1"/>
    <col min="11781" max="12022" width="9.28515625" style="6"/>
    <col min="12023" max="12023" width="6.42578125" style="6" customWidth="1"/>
    <col min="12024" max="12024" width="10.28515625" style="6" customWidth="1"/>
    <col min="12025" max="12025" width="11.42578125" style="6" customWidth="1"/>
    <col min="12026" max="12026" width="11.28515625" style="6" customWidth="1"/>
    <col min="12027" max="12027" width="5.5703125" style="6" customWidth="1"/>
    <col min="12028" max="12028" width="6.42578125" style="6" customWidth="1"/>
    <col min="12029" max="12029" width="9.28515625" style="6"/>
    <col min="12030" max="12030" width="11.7109375" style="6" customWidth="1"/>
    <col min="12031" max="12031" width="10.7109375" style="6" customWidth="1"/>
    <col min="12032" max="12032" width="5.5703125" style="6" customWidth="1"/>
    <col min="12033" max="12033" width="6.42578125" style="6" customWidth="1"/>
    <col min="12034" max="12034" width="9.28515625" style="6"/>
    <col min="12035" max="12035" width="11.28515625" style="6" customWidth="1"/>
    <col min="12036" max="12036" width="10.5703125" style="6" customWidth="1"/>
    <col min="12037" max="12278" width="9.28515625" style="6"/>
    <col min="12279" max="12279" width="6.42578125" style="6" customWidth="1"/>
    <col min="12280" max="12280" width="10.28515625" style="6" customWidth="1"/>
    <col min="12281" max="12281" width="11.42578125" style="6" customWidth="1"/>
    <col min="12282" max="12282" width="11.28515625" style="6" customWidth="1"/>
    <col min="12283" max="12283" width="5.5703125" style="6" customWidth="1"/>
    <col min="12284" max="12284" width="6.42578125" style="6" customWidth="1"/>
    <col min="12285" max="12285" width="9.28515625" style="6"/>
    <col min="12286" max="12286" width="11.7109375" style="6" customWidth="1"/>
    <col min="12287" max="12287" width="10.7109375" style="6" customWidth="1"/>
    <col min="12288" max="12288" width="5.5703125" style="6" customWidth="1"/>
    <col min="12289" max="12289" width="6.42578125" style="6" customWidth="1"/>
    <col min="12290" max="12290" width="9.28515625" style="6"/>
    <col min="12291" max="12291" width="11.28515625" style="6" customWidth="1"/>
    <col min="12292" max="12292" width="10.5703125" style="6" customWidth="1"/>
    <col min="12293" max="12534" width="9.28515625" style="6"/>
    <col min="12535" max="12535" width="6.42578125" style="6" customWidth="1"/>
    <col min="12536" max="12536" width="10.28515625" style="6" customWidth="1"/>
    <col min="12537" max="12537" width="11.42578125" style="6" customWidth="1"/>
    <col min="12538" max="12538" width="11.28515625" style="6" customWidth="1"/>
    <col min="12539" max="12539" width="5.5703125" style="6" customWidth="1"/>
    <col min="12540" max="12540" width="6.42578125" style="6" customWidth="1"/>
    <col min="12541" max="12541" width="9.28515625" style="6"/>
    <col min="12542" max="12542" width="11.7109375" style="6" customWidth="1"/>
    <col min="12543" max="12543" width="10.7109375" style="6" customWidth="1"/>
    <col min="12544" max="12544" width="5.5703125" style="6" customWidth="1"/>
    <col min="12545" max="12545" width="6.42578125" style="6" customWidth="1"/>
    <col min="12546" max="12546" width="9.28515625" style="6"/>
    <col min="12547" max="12547" width="11.28515625" style="6" customWidth="1"/>
    <col min="12548" max="12548" width="10.5703125" style="6" customWidth="1"/>
    <col min="12549" max="12790" width="9.28515625" style="6"/>
    <col min="12791" max="12791" width="6.42578125" style="6" customWidth="1"/>
    <col min="12792" max="12792" width="10.28515625" style="6" customWidth="1"/>
    <col min="12793" max="12793" width="11.42578125" style="6" customWidth="1"/>
    <col min="12794" max="12794" width="11.28515625" style="6" customWidth="1"/>
    <col min="12795" max="12795" width="5.5703125" style="6" customWidth="1"/>
    <col min="12796" max="12796" width="6.42578125" style="6" customWidth="1"/>
    <col min="12797" max="12797" width="9.28515625" style="6"/>
    <col min="12798" max="12798" width="11.7109375" style="6" customWidth="1"/>
    <col min="12799" max="12799" width="10.7109375" style="6" customWidth="1"/>
    <col min="12800" max="12800" width="5.5703125" style="6" customWidth="1"/>
    <col min="12801" max="12801" width="6.42578125" style="6" customWidth="1"/>
    <col min="12802" max="12802" width="9.28515625" style="6"/>
    <col min="12803" max="12803" width="11.28515625" style="6" customWidth="1"/>
    <col min="12804" max="12804" width="10.5703125" style="6" customWidth="1"/>
    <col min="12805" max="13046" width="9.28515625" style="6"/>
    <col min="13047" max="13047" width="6.42578125" style="6" customWidth="1"/>
    <col min="13048" max="13048" width="10.28515625" style="6" customWidth="1"/>
    <col min="13049" max="13049" width="11.42578125" style="6" customWidth="1"/>
    <col min="13050" max="13050" width="11.28515625" style="6" customWidth="1"/>
    <col min="13051" max="13051" width="5.5703125" style="6" customWidth="1"/>
    <col min="13052" max="13052" width="6.42578125" style="6" customWidth="1"/>
    <col min="13053" max="13053" width="9.28515625" style="6"/>
    <col min="13054" max="13054" width="11.7109375" style="6" customWidth="1"/>
    <col min="13055" max="13055" width="10.7109375" style="6" customWidth="1"/>
    <col min="13056" max="13056" width="5.5703125" style="6" customWidth="1"/>
    <col min="13057" max="13057" width="6.42578125" style="6" customWidth="1"/>
    <col min="13058" max="13058" width="9.28515625" style="6"/>
    <col min="13059" max="13059" width="11.28515625" style="6" customWidth="1"/>
    <col min="13060" max="13060" width="10.5703125" style="6" customWidth="1"/>
    <col min="13061" max="13302" width="9.28515625" style="6"/>
    <col min="13303" max="13303" width="6.42578125" style="6" customWidth="1"/>
    <col min="13304" max="13304" width="10.28515625" style="6" customWidth="1"/>
    <col min="13305" max="13305" width="11.42578125" style="6" customWidth="1"/>
    <col min="13306" max="13306" width="11.28515625" style="6" customWidth="1"/>
    <col min="13307" max="13307" width="5.5703125" style="6" customWidth="1"/>
    <col min="13308" max="13308" width="6.42578125" style="6" customWidth="1"/>
    <col min="13309" max="13309" width="9.28515625" style="6"/>
    <col min="13310" max="13310" width="11.7109375" style="6" customWidth="1"/>
    <col min="13311" max="13311" width="10.7109375" style="6" customWidth="1"/>
    <col min="13312" max="13312" width="5.5703125" style="6" customWidth="1"/>
    <col min="13313" max="13313" width="6.42578125" style="6" customWidth="1"/>
    <col min="13314" max="13314" width="9.28515625" style="6"/>
    <col min="13315" max="13315" width="11.28515625" style="6" customWidth="1"/>
    <col min="13316" max="13316" width="10.5703125" style="6" customWidth="1"/>
    <col min="13317" max="13558" width="9.28515625" style="6"/>
    <col min="13559" max="13559" width="6.42578125" style="6" customWidth="1"/>
    <col min="13560" max="13560" width="10.28515625" style="6" customWidth="1"/>
    <col min="13561" max="13561" width="11.42578125" style="6" customWidth="1"/>
    <col min="13562" max="13562" width="11.28515625" style="6" customWidth="1"/>
    <col min="13563" max="13563" width="5.5703125" style="6" customWidth="1"/>
    <col min="13564" max="13564" width="6.42578125" style="6" customWidth="1"/>
    <col min="13565" max="13565" width="9.28515625" style="6"/>
    <col min="13566" max="13566" width="11.7109375" style="6" customWidth="1"/>
    <col min="13567" max="13567" width="10.7109375" style="6" customWidth="1"/>
    <col min="13568" max="13568" width="5.5703125" style="6" customWidth="1"/>
    <col min="13569" max="13569" width="6.42578125" style="6" customWidth="1"/>
    <col min="13570" max="13570" width="9.28515625" style="6"/>
    <col min="13571" max="13571" width="11.28515625" style="6" customWidth="1"/>
    <col min="13572" max="13572" width="10.5703125" style="6" customWidth="1"/>
    <col min="13573" max="13814" width="9.28515625" style="6"/>
    <col min="13815" max="13815" width="6.42578125" style="6" customWidth="1"/>
    <col min="13816" max="13816" width="10.28515625" style="6" customWidth="1"/>
    <col min="13817" max="13817" width="11.42578125" style="6" customWidth="1"/>
    <col min="13818" max="13818" width="11.28515625" style="6" customWidth="1"/>
    <col min="13819" max="13819" width="5.5703125" style="6" customWidth="1"/>
    <col min="13820" max="13820" width="6.42578125" style="6" customWidth="1"/>
    <col min="13821" max="13821" width="9.28515625" style="6"/>
    <col min="13822" max="13822" width="11.7109375" style="6" customWidth="1"/>
    <col min="13823" max="13823" width="10.7109375" style="6" customWidth="1"/>
    <col min="13824" max="13824" width="5.5703125" style="6" customWidth="1"/>
    <col min="13825" max="13825" width="6.42578125" style="6" customWidth="1"/>
    <col min="13826" max="13826" width="9.28515625" style="6"/>
    <col min="13827" max="13827" width="11.28515625" style="6" customWidth="1"/>
    <col min="13828" max="13828" width="10.5703125" style="6" customWidth="1"/>
    <col min="13829" max="14070" width="9.28515625" style="6"/>
    <col min="14071" max="14071" width="6.42578125" style="6" customWidth="1"/>
    <col min="14072" max="14072" width="10.28515625" style="6" customWidth="1"/>
    <col min="14073" max="14073" width="11.42578125" style="6" customWidth="1"/>
    <col min="14074" max="14074" width="11.28515625" style="6" customWidth="1"/>
    <col min="14075" max="14075" width="5.5703125" style="6" customWidth="1"/>
    <col min="14076" max="14076" width="6.42578125" style="6" customWidth="1"/>
    <col min="14077" max="14077" width="9.28515625" style="6"/>
    <col min="14078" max="14078" width="11.7109375" style="6" customWidth="1"/>
    <col min="14079" max="14079" width="10.7109375" style="6" customWidth="1"/>
    <col min="14080" max="14080" width="5.5703125" style="6" customWidth="1"/>
    <col min="14081" max="14081" width="6.42578125" style="6" customWidth="1"/>
    <col min="14082" max="14082" width="9.28515625" style="6"/>
    <col min="14083" max="14083" width="11.28515625" style="6" customWidth="1"/>
    <col min="14084" max="14084" width="10.5703125" style="6" customWidth="1"/>
    <col min="14085" max="14326" width="9.28515625" style="6"/>
    <col min="14327" max="14327" width="6.42578125" style="6" customWidth="1"/>
    <col min="14328" max="14328" width="10.28515625" style="6" customWidth="1"/>
    <col min="14329" max="14329" width="11.42578125" style="6" customWidth="1"/>
    <col min="14330" max="14330" width="11.28515625" style="6" customWidth="1"/>
    <col min="14331" max="14331" width="5.5703125" style="6" customWidth="1"/>
    <col min="14332" max="14332" width="6.42578125" style="6" customWidth="1"/>
    <col min="14333" max="14333" width="9.28515625" style="6"/>
    <col min="14334" max="14334" width="11.7109375" style="6" customWidth="1"/>
    <col min="14335" max="14335" width="10.7109375" style="6" customWidth="1"/>
    <col min="14336" max="14336" width="5.5703125" style="6" customWidth="1"/>
    <col min="14337" max="14337" width="6.42578125" style="6" customWidth="1"/>
    <col min="14338" max="14338" width="9.28515625" style="6"/>
    <col min="14339" max="14339" width="11.28515625" style="6" customWidth="1"/>
    <col min="14340" max="14340" width="10.5703125" style="6" customWidth="1"/>
    <col min="14341" max="14582" width="9.28515625" style="6"/>
    <col min="14583" max="14583" width="6.42578125" style="6" customWidth="1"/>
    <col min="14584" max="14584" width="10.28515625" style="6" customWidth="1"/>
    <col min="14585" max="14585" width="11.42578125" style="6" customWidth="1"/>
    <col min="14586" max="14586" width="11.28515625" style="6" customWidth="1"/>
    <col min="14587" max="14587" width="5.5703125" style="6" customWidth="1"/>
    <col min="14588" max="14588" width="6.42578125" style="6" customWidth="1"/>
    <col min="14589" max="14589" width="9.28515625" style="6"/>
    <col min="14590" max="14590" width="11.7109375" style="6" customWidth="1"/>
    <col min="14591" max="14591" width="10.7109375" style="6" customWidth="1"/>
    <col min="14592" max="14592" width="5.5703125" style="6" customWidth="1"/>
    <col min="14593" max="14593" width="6.42578125" style="6" customWidth="1"/>
    <col min="14594" max="14594" width="9.28515625" style="6"/>
    <col min="14595" max="14595" width="11.28515625" style="6" customWidth="1"/>
    <col min="14596" max="14596" width="10.5703125" style="6" customWidth="1"/>
    <col min="14597" max="14838" width="9.28515625" style="6"/>
    <col min="14839" max="14839" width="6.42578125" style="6" customWidth="1"/>
    <col min="14840" max="14840" width="10.28515625" style="6" customWidth="1"/>
    <col min="14841" max="14841" width="11.42578125" style="6" customWidth="1"/>
    <col min="14842" max="14842" width="11.28515625" style="6" customWidth="1"/>
    <col min="14843" max="14843" width="5.5703125" style="6" customWidth="1"/>
    <col min="14844" max="14844" width="6.42578125" style="6" customWidth="1"/>
    <col min="14845" max="14845" width="9.28515625" style="6"/>
    <col min="14846" max="14846" width="11.7109375" style="6" customWidth="1"/>
    <col min="14847" max="14847" width="10.7109375" style="6" customWidth="1"/>
    <col min="14848" max="14848" width="5.5703125" style="6" customWidth="1"/>
    <col min="14849" max="14849" width="6.42578125" style="6" customWidth="1"/>
    <col min="14850" max="14850" width="9.28515625" style="6"/>
    <col min="14851" max="14851" width="11.28515625" style="6" customWidth="1"/>
    <col min="14852" max="14852" width="10.5703125" style="6" customWidth="1"/>
    <col min="14853" max="15094" width="9.28515625" style="6"/>
    <col min="15095" max="15095" width="6.42578125" style="6" customWidth="1"/>
    <col min="15096" max="15096" width="10.28515625" style="6" customWidth="1"/>
    <col min="15097" max="15097" width="11.42578125" style="6" customWidth="1"/>
    <col min="15098" max="15098" width="11.28515625" style="6" customWidth="1"/>
    <col min="15099" max="15099" width="5.5703125" style="6" customWidth="1"/>
    <col min="15100" max="15100" width="6.42578125" style="6" customWidth="1"/>
    <col min="15101" max="15101" width="9.28515625" style="6"/>
    <col min="15102" max="15102" width="11.7109375" style="6" customWidth="1"/>
    <col min="15103" max="15103" width="10.7109375" style="6" customWidth="1"/>
    <col min="15104" max="15104" width="5.5703125" style="6" customWidth="1"/>
    <col min="15105" max="15105" width="6.42578125" style="6" customWidth="1"/>
    <col min="15106" max="15106" width="9.28515625" style="6"/>
    <col min="15107" max="15107" width="11.28515625" style="6" customWidth="1"/>
    <col min="15108" max="15108" width="10.5703125" style="6" customWidth="1"/>
    <col min="15109" max="15350" width="9.28515625" style="6"/>
    <col min="15351" max="15351" width="6.42578125" style="6" customWidth="1"/>
    <col min="15352" max="15352" width="10.28515625" style="6" customWidth="1"/>
    <col min="15353" max="15353" width="11.42578125" style="6" customWidth="1"/>
    <col min="15354" max="15354" width="11.28515625" style="6" customWidth="1"/>
    <col min="15355" max="15355" width="5.5703125" style="6" customWidth="1"/>
    <col min="15356" max="15356" width="6.42578125" style="6" customWidth="1"/>
    <col min="15357" max="15357" width="9.28515625" style="6"/>
    <col min="15358" max="15358" width="11.7109375" style="6" customWidth="1"/>
    <col min="15359" max="15359" width="10.7109375" style="6" customWidth="1"/>
    <col min="15360" max="15360" width="5.5703125" style="6" customWidth="1"/>
    <col min="15361" max="15361" width="6.42578125" style="6" customWidth="1"/>
    <col min="15362" max="15362" width="9.28515625" style="6"/>
    <col min="15363" max="15363" width="11.28515625" style="6" customWidth="1"/>
    <col min="15364" max="15364" width="10.5703125" style="6" customWidth="1"/>
    <col min="15365" max="15606" width="9.28515625" style="6"/>
    <col min="15607" max="15607" width="6.42578125" style="6" customWidth="1"/>
    <col min="15608" max="15608" width="10.28515625" style="6" customWidth="1"/>
    <col min="15609" max="15609" width="11.42578125" style="6" customWidth="1"/>
    <col min="15610" max="15610" width="11.28515625" style="6" customWidth="1"/>
    <col min="15611" max="15611" width="5.5703125" style="6" customWidth="1"/>
    <col min="15612" max="15612" width="6.42578125" style="6" customWidth="1"/>
    <col min="15613" max="15613" width="9.28515625" style="6"/>
    <col min="15614" max="15614" width="11.7109375" style="6" customWidth="1"/>
    <col min="15615" max="15615" width="10.7109375" style="6" customWidth="1"/>
    <col min="15616" max="15616" width="5.5703125" style="6" customWidth="1"/>
    <col min="15617" max="15617" width="6.42578125" style="6" customWidth="1"/>
    <col min="15618" max="15618" width="9.28515625" style="6"/>
    <col min="15619" max="15619" width="11.28515625" style="6" customWidth="1"/>
    <col min="15620" max="15620" width="10.5703125" style="6" customWidth="1"/>
    <col min="15621" max="15862" width="9.28515625" style="6"/>
    <col min="15863" max="15863" width="6.42578125" style="6" customWidth="1"/>
    <col min="15864" max="15864" width="10.28515625" style="6" customWidth="1"/>
    <col min="15865" max="15865" width="11.42578125" style="6" customWidth="1"/>
    <col min="15866" max="15866" width="11.28515625" style="6" customWidth="1"/>
    <col min="15867" max="15867" width="5.5703125" style="6" customWidth="1"/>
    <col min="15868" max="15868" width="6.42578125" style="6" customWidth="1"/>
    <col min="15869" max="15869" width="9.28515625" style="6"/>
    <col min="15870" max="15870" width="11.7109375" style="6" customWidth="1"/>
    <col min="15871" max="15871" width="10.7109375" style="6" customWidth="1"/>
    <col min="15872" max="15872" width="5.5703125" style="6" customWidth="1"/>
    <col min="15873" max="15873" width="6.42578125" style="6" customWidth="1"/>
    <col min="15874" max="15874" width="9.28515625" style="6"/>
    <col min="15875" max="15875" width="11.28515625" style="6" customWidth="1"/>
    <col min="15876" max="15876" width="10.5703125" style="6" customWidth="1"/>
    <col min="15877" max="16118" width="9.28515625" style="6"/>
    <col min="16119" max="16119" width="6.42578125" style="6" customWidth="1"/>
    <col min="16120" max="16120" width="10.28515625" style="6" customWidth="1"/>
    <col min="16121" max="16121" width="11.42578125" style="6" customWidth="1"/>
    <col min="16122" max="16122" width="11.28515625" style="6" customWidth="1"/>
    <col min="16123" max="16123" width="5.5703125" style="6" customWidth="1"/>
    <col min="16124" max="16124" width="6.42578125" style="6" customWidth="1"/>
    <col min="16125" max="16125" width="9.28515625" style="6"/>
    <col min="16126" max="16126" width="11.7109375" style="6" customWidth="1"/>
    <col min="16127" max="16127" width="10.7109375" style="6" customWidth="1"/>
    <col min="16128" max="16128" width="5.5703125" style="6" customWidth="1"/>
    <col min="16129" max="16129" width="6.42578125" style="6" customWidth="1"/>
    <col min="16130" max="16130" width="9.28515625" style="6"/>
    <col min="16131" max="16131" width="11.28515625" style="6" customWidth="1"/>
    <col min="16132" max="16132" width="10.5703125" style="6" customWidth="1"/>
    <col min="16133" max="16382" width="9.28515625" style="6"/>
    <col min="16383" max="16384" width="9.28515625" style="6" customWidth="1"/>
  </cols>
  <sheetData>
    <row r="2" spans="1:4" s="5" customFormat="1">
      <c r="A2" s="5" t="s">
        <v>3</v>
      </c>
      <c r="B2" s="5" t="s">
        <v>9</v>
      </c>
      <c r="C2" s="5" t="s">
        <v>10</v>
      </c>
      <c r="D2" s="5" t="s">
        <v>11</v>
      </c>
    </row>
    <row r="3" spans="1:4">
      <c r="A3" s="6">
        <v>0</v>
      </c>
      <c r="B3" s="6">
        <v>3.649999999999487E-4</v>
      </c>
      <c r="C3" s="7">
        <v>19.40539936483637</v>
      </c>
      <c r="D3" s="7">
        <v>0.3733038399871737</v>
      </c>
    </row>
    <row r="4" spans="1:4">
      <c r="A4" s="6">
        <v>1</v>
      </c>
      <c r="B4" s="6">
        <v>7.2986677499986552E-4</v>
      </c>
      <c r="C4" s="7">
        <v>19.392545186175592</v>
      </c>
      <c r="D4" s="7">
        <v>0.3933071613883975</v>
      </c>
    </row>
    <row r="5" spans="1:4">
      <c r="A5" s="6">
        <v>2</v>
      </c>
      <c r="B5" s="6">
        <v>9.7169014724030056E-4</v>
      </c>
      <c r="C5" s="7">
        <v>19.379003869569235</v>
      </c>
      <c r="D5" s="7">
        <v>0.41438235193271572</v>
      </c>
    </row>
    <row r="6" spans="1:4">
      <c r="A6" s="6">
        <v>3</v>
      </c>
      <c r="B6" s="6">
        <v>1.163503582731984E-3</v>
      </c>
      <c r="C6" s="7">
        <v>19.362295002381927</v>
      </c>
      <c r="D6" s="7">
        <v>0.43653313407398192</v>
      </c>
    </row>
    <row r="7" spans="1:4">
      <c r="A7" s="6">
        <v>4</v>
      </c>
      <c r="B7" s="6">
        <v>1.3103325477052952E-3</v>
      </c>
      <c r="C7" s="7">
        <v>19.343701026798897</v>
      </c>
      <c r="D7" s="7">
        <v>0.45984498704422938</v>
      </c>
    </row>
    <row r="8" spans="1:4">
      <c r="A8" s="6">
        <v>5</v>
      </c>
      <c r="B8" s="6">
        <v>1.4441569631438167E-3</v>
      </c>
      <c r="C8" s="7">
        <v>19.323222317307856</v>
      </c>
      <c r="D8" s="7">
        <v>0.48437994420678032</v>
      </c>
    </row>
    <row r="9" spans="1:4">
      <c r="A9" s="6">
        <v>6</v>
      </c>
      <c r="B9" s="6">
        <v>1.5709735552095205E-3</v>
      </c>
      <c r="C9" s="7">
        <v>19.301393143792605</v>
      </c>
      <c r="D9" s="7">
        <v>0.51021732636031325</v>
      </c>
    </row>
    <row r="10" spans="1:4">
      <c r="A10" s="6">
        <v>7</v>
      </c>
      <c r="B10" s="6">
        <v>1.6917834674093912E-3</v>
      </c>
      <c r="C10" s="7">
        <v>19.278260000753672</v>
      </c>
      <c r="D10" s="7">
        <v>0.53742914162366706</v>
      </c>
    </row>
    <row r="11" spans="1:4">
      <c r="A11" s="6">
        <v>8</v>
      </c>
      <c r="B11" s="6">
        <v>1.8015973712279809E-3</v>
      </c>
      <c r="C11" s="7">
        <v>19.25377285089942</v>
      </c>
      <c r="D11" s="7">
        <v>0.56608886871116049</v>
      </c>
    </row>
    <row r="12" spans="1:4">
      <c r="A12" s="6">
        <v>9</v>
      </c>
      <c r="B12" s="6">
        <v>1.906408203504073E-3</v>
      </c>
      <c r="C12" s="7">
        <v>19.22776094422014</v>
      </c>
      <c r="D12" s="7">
        <v>0.5962703862690828</v>
      </c>
    </row>
    <row r="13" spans="1:4">
      <c r="A13" s="6">
        <v>10</v>
      </c>
      <c r="B13" s="6">
        <v>2.0132042178262477E-3</v>
      </c>
      <c r="C13" s="7">
        <v>19.200261454347942</v>
      </c>
      <c r="D13" s="7">
        <v>0.62805791689987134</v>
      </c>
    </row>
    <row r="14" spans="1:4">
      <c r="A14" s="6">
        <v>11</v>
      </c>
      <c r="B14" s="6">
        <v>2.1219847785665102E-3</v>
      </c>
      <c r="C14" s="7">
        <v>19.171332503166827</v>
      </c>
      <c r="D14" s="7">
        <v>0.66154138300692544</v>
      </c>
    </row>
    <row r="15" spans="1:4">
      <c r="A15" s="6">
        <v>12</v>
      </c>
      <c r="B15" s="6">
        <v>2.2357428723016604E-3</v>
      </c>
      <c r="C15" s="7">
        <v>19.140897175049641</v>
      </c>
      <c r="D15" s="7">
        <v>0.69681133701863018</v>
      </c>
    </row>
    <row r="16" spans="1:4">
      <c r="A16" s="6">
        <v>13</v>
      </c>
      <c r="B16" s="6">
        <v>2.3554745831569912E-3</v>
      </c>
      <c r="C16" s="7">
        <v>19.108933213784752</v>
      </c>
      <c r="D16" s="7">
        <v>0.73396537220045066</v>
      </c>
    </row>
    <row r="17" spans="1:4">
      <c r="A17" s="6">
        <v>14</v>
      </c>
      <c r="B17" s="6">
        <v>2.4851683714611772E-3</v>
      </c>
      <c r="C17" s="7">
        <v>19.075377896275796</v>
      </c>
      <c r="D17" s="7">
        <v>0.77310510261382648</v>
      </c>
    </row>
    <row r="18" spans="1:4">
      <c r="A18" s="6">
        <v>15</v>
      </c>
      <c r="B18" s="6">
        <v>2.6258179627207667E-3</v>
      </c>
      <c r="C18" s="7">
        <v>19.040223774389887</v>
      </c>
      <c r="D18" s="7">
        <v>0.81434015829346074</v>
      </c>
    </row>
    <row r="19" spans="1:4">
      <c r="A19" s="6">
        <v>16</v>
      </c>
      <c r="B19" s="6">
        <v>2.7744267158442693E-3</v>
      </c>
      <c r="C19" s="7">
        <v>19.003404114268275</v>
      </c>
      <c r="D19" s="7">
        <v>0.85778400225899087</v>
      </c>
    </row>
    <row r="20" spans="1:4">
      <c r="A20" s="6">
        <v>17</v>
      </c>
      <c r="B20" s="6">
        <v>2.9319883564231652E-3</v>
      </c>
      <c r="C20" s="7">
        <v>18.964770624853685</v>
      </c>
      <c r="D20" s="7">
        <v>0.90355274053750734</v>
      </c>
    </row>
    <row r="21" spans="1:4">
      <c r="A21" s="6">
        <v>18</v>
      </c>
      <c r="B21" s="6">
        <v>3.0955075103327179E-3</v>
      </c>
      <c r="C21" s="7">
        <v>18.924244965167684</v>
      </c>
      <c r="D21" s="7">
        <v>0.95177212633006203</v>
      </c>
    </row>
    <row r="22" spans="1:4">
      <c r="A22" s="6">
        <v>19</v>
      </c>
      <c r="B22" s="6">
        <v>3.2629874650709212E-3</v>
      </c>
      <c r="C22" s="7">
        <v>18.881666917242185</v>
      </c>
      <c r="D22" s="7">
        <v>1.0025708250661305</v>
      </c>
    </row>
    <row r="23" spans="1:4">
      <c r="A23" s="6">
        <v>20</v>
      </c>
      <c r="B23" s="6">
        <v>3.433429494214435E-3</v>
      </c>
      <c r="C23" s="7">
        <v>18.836887473537956</v>
      </c>
      <c r="D23" s="7">
        <v>1.0560850152422112</v>
      </c>
    </row>
    <row r="24" spans="1:4">
      <c r="A24" s="6">
        <v>21</v>
      </c>
      <c r="B24" s="6">
        <v>3.6088252106234453E-3</v>
      </c>
      <c r="C24" s="7">
        <v>18.78976927037327</v>
      </c>
      <c r="D24" s="7">
        <v>1.1124589685367148</v>
      </c>
    </row>
    <row r="25" spans="1:4">
      <c r="A25" s="6">
        <v>22</v>
      </c>
      <c r="B25" s="6">
        <v>3.7901684044351347E-3</v>
      </c>
      <c r="C25" s="7">
        <v>18.740225118945133</v>
      </c>
      <c r="D25" s="7">
        <v>1.1718480309163093</v>
      </c>
    </row>
    <row r="26" spans="1:4">
      <c r="A26" s="6">
        <v>23</v>
      </c>
      <c r="B26" s="6">
        <v>3.9834331117647448E-3</v>
      </c>
      <c r="C26" s="7">
        <v>18.688143924013616</v>
      </c>
      <c r="D26" s="7">
        <v>1.2344150096928193</v>
      </c>
    </row>
    <row r="27" spans="1:4">
      <c r="A27" s="6">
        <v>24</v>
      </c>
      <c r="B27" s="6">
        <v>4.1876165079768324E-3</v>
      </c>
      <c r="C27" s="7">
        <v>18.633504483432951</v>
      </c>
      <c r="D27" s="7">
        <v>1.3003381538103154</v>
      </c>
    </row>
    <row r="28" spans="1:4">
      <c r="A28" s="6">
        <v>25</v>
      </c>
      <c r="B28" s="6">
        <v>4.4056994199616062E-3</v>
      </c>
      <c r="C28" s="7">
        <v>18.576149742386658</v>
      </c>
      <c r="D28" s="7">
        <v>1.3697969519681759</v>
      </c>
    </row>
    <row r="29" spans="1:4">
      <c r="A29" s="6">
        <v>26</v>
      </c>
      <c r="B29" s="6">
        <v>4.646633240701914E-3</v>
      </c>
      <c r="C29" s="7">
        <v>18.51598986123771</v>
      </c>
      <c r="D29" s="7">
        <v>1.442986163782749</v>
      </c>
    </row>
    <row r="30" spans="1:4">
      <c r="A30" s="6">
        <v>27</v>
      </c>
      <c r="B30" s="6">
        <v>4.8964669357585144E-3</v>
      </c>
      <c r="C30" s="7">
        <v>18.453042101202865</v>
      </c>
      <c r="D30" s="7">
        <v>1.5201208969530524</v>
      </c>
    </row>
    <row r="31" spans="1:4">
      <c r="A31" s="6">
        <v>28</v>
      </c>
      <c r="B31" s="6">
        <v>5.1561889578882747E-3</v>
      </c>
      <c r="C31" s="7">
        <v>18.386888414059712</v>
      </c>
      <c r="D31" s="7">
        <v>1.6013932783838287</v>
      </c>
    </row>
    <row r="32" spans="1:4">
      <c r="A32" s="6">
        <v>29</v>
      </c>
      <c r="B32" s="6">
        <v>5.4277813183027934E-3</v>
      </c>
      <c r="C32" s="7">
        <v>18.31737377337879</v>
      </c>
      <c r="D32" s="7">
        <v>1.6870277150274688</v>
      </c>
    </row>
    <row r="33" spans="1:4">
      <c r="A33" s="6">
        <v>30</v>
      </c>
      <c r="B33" s="6">
        <v>5.7251584116886356E-3</v>
      </c>
      <c r="C33" s="7">
        <v>18.244353729513069</v>
      </c>
      <c r="D33" s="7">
        <v>1.7772627822064724</v>
      </c>
    </row>
    <row r="34" spans="1:4">
      <c r="A34" s="6">
        <v>31</v>
      </c>
      <c r="B34" s="6">
        <v>6.0691775068781872E-3</v>
      </c>
      <c r="C34" s="7">
        <v>18.167899609781063</v>
      </c>
      <c r="D34" s="7">
        <v>1.8723730017473772</v>
      </c>
    </row>
    <row r="35" spans="1:4">
      <c r="A35" s="6">
        <v>32</v>
      </c>
      <c r="B35" s="6">
        <v>6.4578044584729932E-3</v>
      </c>
      <c r="C35" s="7">
        <v>18.088212956843254</v>
      </c>
      <c r="D35" s="7">
        <v>1.972665787802917</v>
      </c>
    </row>
    <row r="36" spans="1:4">
      <c r="A36" s="6">
        <v>33</v>
      </c>
      <c r="B36" s="6">
        <v>6.890988855729141E-3</v>
      </c>
      <c r="C36" s="7">
        <v>18.005074951611519</v>
      </c>
      <c r="D36" s="7">
        <v>2.0784242716042267</v>
      </c>
    </row>
    <row r="37" spans="1:4">
      <c r="A37" s="6">
        <v>34</v>
      </c>
      <c r="B37" s="6">
        <v>7.3666880720673067E-3</v>
      </c>
      <c r="C37" s="7">
        <v>17.918291430041887</v>
      </c>
      <c r="D37" s="7">
        <v>2.1899512616036287</v>
      </c>
    </row>
    <row r="38" spans="1:4">
      <c r="A38" s="6">
        <v>35</v>
      </c>
      <c r="B38" s="6">
        <v>7.8838500275817402E-3</v>
      </c>
      <c r="C38" s="7">
        <v>17.827620312353652</v>
      </c>
      <c r="D38" s="7">
        <v>2.3075619909145892</v>
      </c>
    </row>
    <row r="39" spans="1:4">
      <c r="A39" s="6">
        <v>36</v>
      </c>
      <c r="B39" s="6">
        <v>8.4404271877163151E-3</v>
      </c>
      <c r="C39" s="7">
        <v>17.73282313036006</v>
      </c>
      <c r="D39" s="7">
        <v>2.4315911478192578</v>
      </c>
    </row>
    <row r="40" spans="1:4">
      <c r="A40" s="6">
        <v>37</v>
      </c>
      <c r="B40" s="6">
        <v>9.0343713718309404E-3</v>
      </c>
      <c r="C40" s="7">
        <v>17.633627735807131</v>
      </c>
      <c r="D40" s="7">
        <v>2.5623892972790117</v>
      </c>
    </row>
    <row r="41" spans="1:4">
      <c r="A41" s="6">
        <v>38</v>
      </c>
      <c r="B41" s="6">
        <v>9.6537248897234917E-3</v>
      </c>
      <c r="C41" s="7">
        <v>17.529746714742451</v>
      </c>
      <c r="D41" s="7">
        <v>2.7003259031102202</v>
      </c>
    </row>
    <row r="42" spans="1:4">
      <c r="A42" s="6">
        <v>39</v>
      </c>
      <c r="B42" s="6">
        <v>1.029844031482019E-2</v>
      </c>
      <c r="C42" s="7">
        <v>17.42069865553951</v>
      </c>
      <c r="D42" s="7">
        <v>2.8457618423071205</v>
      </c>
    </row>
    <row r="43" spans="1:4">
      <c r="A43" s="6">
        <v>40</v>
      </c>
      <c r="B43" s="6">
        <v>1.0975396181644892E-2</v>
      </c>
      <c r="C43" s="7">
        <v>17.306193234279093</v>
      </c>
      <c r="D43" s="7">
        <v>2.9991087921415418</v>
      </c>
    </row>
    <row r="44" spans="1:4">
      <c r="A44" s="6">
        <v>41</v>
      </c>
      <c r="B44" s="6">
        <v>1.1688482920997889E-2</v>
      </c>
      <c r="C44" s="7">
        <v>17.186047536795357</v>
      </c>
      <c r="D44" s="7">
        <v>3.1608233830774952</v>
      </c>
    </row>
    <row r="45" spans="1:4">
      <c r="A45" s="6">
        <v>42</v>
      </c>
      <c r="B45" s="6">
        <v>1.2444541231563355E-2</v>
      </c>
      <c r="C45" s="7">
        <v>17.060011782457945</v>
      </c>
      <c r="D45" s="7">
        <v>3.3313811128395736</v>
      </c>
    </row>
    <row r="46" spans="1:4">
      <c r="A46" s="6">
        <v>43</v>
      </c>
      <c r="B46" s="6">
        <v>1.3249398930459622E-2</v>
      </c>
      <c r="C46" s="7">
        <v>16.927871608196238</v>
      </c>
      <c r="D46" s="7">
        <v>3.5112967300411149</v>
      </c>
    </row>
    <row r="47" spans="1:4">
      <c r="A47" s="6">
        <v>44</v>
      </c>
      <c r="B47" s="6">
        <v>1.411083220519338E-2</v>
      </c>
      <c r="C47" s="7">
        <v>16.789378495445924</v>
      </c>
      <c r="D47" s="7">
        <v>3.7011141240904304</v>
      </c>
    </row>
    <row r="48" spans="1:4">
      <c r="A48" s="6">
        <v>45</v>
      </c>
      <c r="B48" s="6">
        <v>1.5023765574571302E-2</v>
      </c>
      <c r="C48" s="7">
        <v>16.644300505907882</v>
      </c>
      <c r="D48" s="7">
        <v>3.9014193345711252</v>
      </c>
    </row>
    <row r="49" spans="1:4">
      <c r="A49" s="6">
        <v>46</v>
      </c>
      <c r="B49" s="6">
        <v>1.5989042284308197E-2</v>
      </c>
      <c r="C49" s="7">
        <v>16.492168256608988</v>
      </c>
      <c r="D49" s="7">
        <v>4.1302831077114535</v>
      </c>
    </row>
    <row r="50" spans="1:4">
      <c r="A50" s="6">
        <v>47</v>
      </c>
      <c r="B50" s="6">
        <v>1.7009461647459312E-2</v>
      </c>
      <c r="C50" s="7">
        <v>16.332587450650422</v>
      </c>
      <c r="D50" s="7">
        <v>4.3706516495216396</v>
      </c>
    </row>
    <row r="51" spans="1:4">
      <c r="A51" s="6">
        <v>48</v>
      </c>
      <c r="B51" s="6">
        <v>1.8102547126107371E-2</v>
      </c>
      <c r="C51" s="7">
        <v>16.165174119115157</v>
      </c>
      <c r="D51" s="7">
        <v>4.6231280828694761</v>
      </c>
    </row>
    <row r="52" spans="1:4">
      <c r="A52" s="6">
        <v>49</v>
      </c>
      <c r="B52" s="6">
        <v>1.9274932684838819E-2</v>
      </c>
      <c r="C52" s="7">
        <v>15.98976934786851</v>
      </c>
      <c r="D52" s="7">
        <v>4.8884270610101694</v>
      </c>
    </row>
    <row r="53" spans="1:4">
      <c r="A53" s="6">
        <v>50</v>
      </c>
      <c r="B53" s="6">
        <v>2.0549875272348528E-2</v>
      </c>
      <c r="C53" s="7">
        <v>15.806014485889181</v>
      </c>
      <c r="D53" s="7">
        <v>5.1672606810698962</v>
      </c>
    </row>
    <row r="54" spans="1:4">
      <c r="A54" s="6">
        <v>51</v>
      </c>
      <c r="B54" s="6">
        <v>2.1919146546717783E-2</v>
      </c>
      <c r="C54" s="7">
        <v>15.613796568012786</v>
      </c>
      <c r="D54" s="7">
        <v>5.4604795371126205</v>
      </c>
    </row>
    <row r="55" spans="1:4">
      <c r="A55" s="6">
        <v>52</v>
      </c>
      <c r="B55" s="6">
        <v>2.3428325303596176E-2</v>
      </c>
      <c r="C55" s="7">
        <v>15.412466772863519</v>
      </c>
      <c r="D55" s="7">
        <v>5.7688197506970553</v>
      </c>
    </row>
    <row r="56" spans="1:4">
      <c r="A56" s="6">
        <v>53</v>
      </c>
      <c r="B56" s="6">
        <v>2.5123653730869111E-2</v>
      </c>
      <c r="C56" s="7">
        <v>15.202206581187783</v>
      </c>
      <c r="D56" s="7">
        <v>6.0933848967086561</v>
      </c>
    </row>
    <row r="57" spans="1:4">
      <c r="A57" s="6">
        <v>54</v>
      </c>
      <c r="B57" s="6">
        <v>2.7033436493210328E-2</v>
      </c>
      <c r="C57" s="7">
        <v>14.983192811172094</v>
      </c>
      <c r="D57" s="7">
        <v>6.4353947374166136</v>
      </c>
    </row>
    <row r="58" spans="1:4" s="35" customFormat="1">
      <c r="A58" s="35">
        <v>55</v>
      </c>
      <c r="B58" s="35">
        <v>2.9283908154601579E-2</v>
      </c>
      <c r="C58" s="36">
        <v>14.755301713282661</v>
      </c>
      <c r="D58" s="36">
        <v>6.7960699737564649</v>
      </c>
    </row>
    <row r="59" spans="1:4">
      <c r="A59" s="6">
        <v>56</v>
      </c>
      <c r="B59" s="6">
        <v>3.198541103820729E-2</v>
      </c>
      <c r="C59" s="7">
        <v>14.519891412750457</v>
      </c>
      <c r="D59" s="7">
        <v>7.1774655635300286</v>
      </c>
    </row>
    <row r="60" spans="1:4">
      <c r="A60" s="6">
        <v>57</v>
      </c>
      <c r="B60" s="6">
        <v>3.5088865810418812E-2</v>
      </c>
      <c r="C60" s="7">
        <v>14.278066201114809</v>
      </c>
      <c r="D60" s="7">
        <v>7.5818071574130625</v>
      </c>
    </row>
    <row r="61" spans="1:4">
      <c r="A61" s="6">
        <v>58</v>
      </c>
      <c r="B61" s="6">
        <v>3.8626230028357744E-2</v>
      </c>
      <c r="C61" s="7">
        <v>14.028519921692178</v>
      </c>
      <c r="D61" s="7">
        <v>8.0103030898171035</v>
      </c>
    </row>
    <row r="62" spans="1:4">
      <c r="A62" s="6">
        <v>59</v>
      </c>
      <c r="B62" s="6">
        <v>4.2626506285209698E-2</v>
      </c>
      <c r="C62" s="7">
        <v>13.771095443708495</v>
      </c>
      <c r="D62" s="7">
        <v>8.4649069243906752</v>
      </c>
    </row>
    <row r="63" spans="1:4">
      <c r="A63" s="6">
        <v>60</v>
      </c>
      <c r="B63" s="6">
        <v>4.7175945127342356E-2</v>
      </c>
      <c r="C63" s="7">
        <v>13.505563941629211</v>
      </c>
      <c r="D63" s="7">
        <v>8.9477505511009596</v>
      </c>
    </row>
    <row r="64" spans="1:4">
      <c r="A64" s="6">
        <v>61</v>
      </c>
      <c r="B64" s="6">
        <v>5.2434581086184595E-2</v>
      </c>
      <c r="C64" s="7">
        <v>13.232490285156944</v>
      </c>
      <c r="D64" s="7">
        <v>9.5218162968469429</v>
      </c>
    </row>
    <row r="65" spans="1:4" s="35" customFormat="1">
      <c r="A65" s="35">
        <v>62</v>
      </c>
      <c r="B65" s="35">
        <v>5.8441198276679263E-2</v>
      </c>
      <c r="C65" s="36">
        <v>12.95345306666375</v>
      </c>
      <c r="D65" s="36">
        <v>10.119596151870011</v>
      </c>
    </row>
    <row r="66" spans="1:4">
      <c r="A66" s="6">
        <v>63</v>
      </c>
      <c r="B66" s="6">
        <v>6.5382369762983616E-2</v>
      </c>
      <c r="C66" s="7">
        <v>12.668336329886966</v>
      </c>
      <c r="D66" s="7">
        <v>10.743376581154914</v>
      </c>
    </row>
    <row r="67" spans="1:4">
      <c r="A67" s="6">
        <v>64</v>
      </c>
      <c r="B67" s="6">
        <v>7.3165865387597506E-2</v>
      </c>
      <c r="C67" s="7">
        <v>12.379045003289841</v>
      </c>
      <c r="D67" s="7">
        <v>11.397554618089631</v>
      </c>
    </row>
    <row r="68" spans="1:4" s="35" customFormat="1">
      <c r="A68" s="35">
        <v>65</v>
      </c>
      <c r="B68" s="35">
        <v>8.1892008764973268E-2</v>
      </c>
      <c r="C68" s="36">
        <v>12.083730124478894</v>
      </c>
      <c r="D68" s="36">
        <v>12.083730124478894</v>
      </c>
    </row>
    <row r="69" spans="1:4">
      <c r="A69" s="6">
        <v>66</v>
      </c>
      <c r="B69" s="6">
        <v>9.1776359398609619E-2</v>
      </c>
      <c r="C69" s="7">
        <v>11.783053814467978</v>
      </c>
      <c r="D69" s="7">
        <v>11.783053814467978</v>
      </c>
    </row>
    <row r="70" spans="1:4">
      <c r="A70" s="6">
        <v>67</v>
      </c>
      <c r="B70" s="6">
        <v>0.10267050196762328</v>
      </c>
      <c r="C70" s="7">
        <v>11.479194437673669</v>
      </c>
      <c r="D70" s="7">
        <v>11.479194437673669</v>
      </c>
    </row>
    <row r="71" spans="1:4">
      <c r="A71" s="6">
        <v>68</v>
      </c>
      <c r="B71" s="6">
        <v>0.11450179139918015</v>
      </c>
      <c r="C71" s="7">
        <v>11.169652732611603</v>
      </c>
      <c r="D71" s="7">
        <v>11.169652732611603</v>
      </c>
    </row>
    <row r="72" spans="1:4">
      <c r="A72" s="6">
        <v>69</v>
      </c>
      <c r="B72" s="6">
        <v>0.12742829424833491</v>
      </c>
      <c r="C72" s="7">
        <v>10.852815564240341</v>
      </c>
      <c r="D72" s="7">
        <v>10.852815564240341</v>
      </c>
    </row>
    <row r="73" spans="1:4">
      <c r="A73" s="6">
        <v>70</v>
      </c>
      <c r="B73" s="6">
        <v>0.14138333353842136</v>
      </c>
      <c r="C73" s="7">
        <v>10.529914656364664</v>
      </c>
      <c r="D73" s="7">
        <v>10.529914656364664</v>
      </c>
    </row>
    <row r="74" spans="1:4">
      <c r="A74" s="6">
        <v>71</v>
      </c>
      <c r="B74" s="6">
        <v>0.15650443165147632</v>
      </c>
      <c r="C74" s="7">
        <v>10.199415391348317</v>
      </c>
      <c r="D74" s="7">
        <v>10.199415391348317</v>
      </c>
    </row>
    <row r="75" spans="1:4">
      <c r="A75" s="6">
        <v>72</v>
      </c>
      <c r="B75" s="6">
        <v>0.17305297120690599</v>
      </c>
      <c r="C75" s="7">
        <v>9.8622220940953991</v>
      </c>
      <c r="D75" s="7">
        <v>9.8622220940953991</v>
      </c>
    </row>
    <row r="76" spans="1:4">
      <c r="A76" s="6">
        <v>73</v>
      </c>
      <c r="B76" s="6">
        <v>0.19101426067229199</v>
      </c>
      <c r="C76" s="7">
        <v>9.5207494668911483</v>
      </c>
      <c r="D76" s="7">
        <v>9.5207494668911483</v>
      </c>
    </row>
    <row r="77" spans="1:4">
      <c r="A77" s="6">
        <v>74</v>
      </c>
      <c r="B77" s="6">
        <v>0.21061032223602705</v>
      </c>
      <c r="C77" s="7">
        <v>9.1742269326828616</v>
      </c>
      <c r="D77" s="7">
        <v>9.1742269326828616</v>
      </c>
    </row>
    <row r="78" spans="1:4" s="35" customFormat="1">
      <c r="A78" s="35">
        <v>75</v>
      </c>
      <c r="B78" s="35">
        <v>0.23193015865307642</v>
      </c>
      <c r="C78" s="36">
        <v>8.8246579718737017</v>
      </c>
      <c r="D78" s="36">
        <v>8.8246579718737017</v>
      </c>
    </row>
    <row r="79" spans="1:4">
      <c r="A79" s="6">
        <v>76</v>
      </c>
      <c r="B79" s="6">
        <v>0.25497609424269085</v>
      </c>
      <c r="C79" s="7">
        <v>8.4726474179309168</v>
      </c>
      <c r="D79" s="7">
        <v>8.4726474179309168</v>
      </c>
    </row>
    <row r="80" spans="1:4">
      <c r="A80" s="6">
        <v>77</v>
      </c>
      <c r="B80" s="6">
        <v>0.28019589847648152</v>
      </c>
      <c r="C80" s="7">
        <v>8.1178949272973675</v>
      </c>
      <c r="D80" s="7">
        <v>8.1178949272973675</v>
      </c>
    </row>
    <row r="81" spans="1:4">
      <c r="A81" s="6">
        <v>78</v>
      </c>
      <c r="B81" s="6">
        <v>0.30746279764629392</v>
      </c>
      <c r="C81" s="7">
        <v>7.7652327178347873</v>
      </c>
      <c r="D81" s="7">
        <v>7.7652327178347873</v>
      </c>
    </row>
    <row r="82" spans="1:4">
      <c r="A82" s="6">
        <v>79</v>
      </c>
      <c r="B82" s="6">
        <v>0.33683260786091229</v>
      </c>
      <c r="C82" s="7">
        <v>7.413579660853892</v>
      </c>
      <c r="D82" s="7">
        <v>7.413579660853892</v>
      </c>
    </row>
    <row r="83" spans="1:4">
      <c r="A83" s="6">
        <v>80</v>
      </c>
      <c r="B83" s="6">
        <v>0.36832443781142121</v>
      </c>
      <c r="C83" s="7">
        <v>7.0640273304352306</v>
      </c>
      <c r="D83" s="7">
        <v>7.0640273304352306</v>
      </c>
    </row>
    <row r="84" spans="1:4">
      <c r="A84" s="6">
        <v>81</v>
      </c>
      <c r="B84" s="6">
        <v>0.40206917801909736</v>
      </c>
      <c r="C84" s="7">
        <v>6.7176329885787789</v>
      </c>
      <c r="D84" s="7">
        <v>6.7176329885787789</v>
      </c>
    </row>
    <row r="85" spans="1:4">
      <c r="A85" s="6">
        <v>82</v>
      </c>
      <c r="B85" s="6">
        <v>0.43799585145781983</v>
      </c>
      <c r="C85" s="7">
        <v>6.3772264083733186</v>
      </c>
      <c r="D85" s="7">
        <v>6.3772264083733186</v>
      </c>
    </row>
    <row r="86" spans="1:4">
      <c r="A86" s="6">
        <v>83</v>
      </c>
      <c r="B86" s="6">
        <v>0.47557650686668684</v>
      </c>
      <c r="C86" s="7">
        <v>6.0442458340857188</v>
      </c>
      <c r="D86" s="7">
        <v>6.0442458340857188</v>
      </c>
    </row>
    <row r="87" spans="1:4">
      <c r="A87" s="6">
        <v>84</v>
      </c>
      <c r="B87" s="6">
        <v>0.51497119967086125</v>
      </c>
      <c r="C87" s="7">
        <v>5.7156386650881394</v>
      </c>
      <c r="D87" s="7">
        <v>5.7156386650881394</v>
      </c>
    </row>
    <row r="88" spans="1:4">
      <c r="A88" s="6">
        <v>85</v>
      </c>
      <c r="B88" s="6">
        <v>0.55576357686494293</v>
      </c>
      <c r="C88" s="7">
        <v>5.3965009948716398</v>
      </c>
      <c r="D88" s="7">
        <v>5.3965009948716398</v>
      </c>
    </row>
    <row r="89" spans="1:4">
      <c r="A89" s="6">
        <v>86</v>
      </c>
      <c r="B89" s="6">
        <v>0.59758754763026223</v>
      </c>
      <c r="C89" s="7">
        <v>5.0869551522284029</v>
      </c>
      <c r="D89" s="7">
        <v>5.0869551522284029</v>
      </c>
    </row>
    <row r="90" spans="1:4">
      <c r="A90" s="6">
        <v>87</v>
      </c>
      <c r="B90" s="6">
        <v>0.64040543979975939</v>
      </c>
      <c r="C90" s="7">
        <v>4.7886647563600668</v>
      </c>
      <c r="D90" s="7">
        <v>4.7886647563600668</v>
      </c>
    </row>
    <row r="91" spans="1:4">
      <c r="A91" s="6">
        <v>88</v>
      </c>
      <c r="B91" s="6">
        <v>0.6832914062383606</v>
      </c>
      <c r="C91" s="7">
        <v>4.5093345384163852</v>
      </c>
      <c r="D91" s="7">
        <v>4.5093345384163852</v>
      </c>
    </row>
    <row r="92" spans="1:4">
      <c r="A92" s="6">
        <v>89</v>
      </c>
      <c r="B92" s="6">
        <v>0.72542125021490889</v>
      </c>
      <c r="C92" s="7">
        <v>4.2481896830794579</v>
      </c>
      <c r="D92" s="7">
        <v>4.2481896830794579</v>
      </c>
    </row>
    <row r="93" spans="1:4">
      <c r="A93" s="6">
        <v>90</v>
      </c>
      <c r="B93" s="6">
        <v>0.76612095998055385</v>
      </c>
      <c r="C93" s="7">
        <v>4.0061487862915977</v>
      </c>
      <c r="D93" s="7">
        <v>4.0061487862915977</v>
      </c>
    </row>
    <row r="94" spans="1:4">
      <c r="A94" s="6">
        <v>91</v>
      </c>
      <c r="B94" s="6">
        <v>0.80401123549602427</v>
      </c>
      <c r="C94" s="7">
        <v>3.7871690017888553</v>
      </c>
      <c r="D94" s="7">
        <v>3.7871690017888553</v>
      </c>
    </row>
    <row r="95" spans="1:4">
      <c r="A95" s="6">
        <v>92</v>
      </c>
      <c r="B95" s="6">
        <v>0.83885705788100862</v>
      </c>
      <c r="C95" s="7">
        <v>3.5824319157758526</v>
      </c>
      <c r="D95" s="7">
        <v>3.5824319157758526</v>
      </c>
    </row>
    <row r="96" spans="1:4">
      <c r="A96" s="6">
        <v>93</v>
      </c>
      <c r="B96" s="6">
        <v>0.87001871888503701</v>
      </c>
      <c r="C96" s="7">
        <v>3.3986017784025657</v>
      </c>
      <c r="D96" s="7">
        <v>3.3986017784025657</v>
      </c>
    </row>
    <row r="97" spans="1:4">
      <c r="A97" s="6">
        <v>94</v>
      </c>
      <c r="B97" s="6">
        <v>0.89698281572721161</v>
      </c>
      <c r="C97" s="7">
        <v>3.2339507743822655</v>
      </c>
      <c r="D97" s="7">
        <v>3.2339507743822655</v>
      </c>
    </row>
    <row r="98" spans="1:4">
      <c r="A98" s="6">
        <v>95</v>
      </c>
      <c r="B98" s="6">
        <v>0.91998346245979712</v>
      </c>
      <c r="C98" s="7">
        <v>3.0815586659572629</v>
      </c>
      <c r="D98" s="7">
        <v>3.0815586659572629</v>
      </c>
    </row>
    <row r="99" spans="1:4">
      <c r="A99" s="6">
        <v>96</v>
      </c>
      <c r="B99" s="6">
        <v>0.93890385286040334</v>
      </c>
      <c r="C99" s="7">
        <v>2.9480727896626759</v>
      </c>
      <c r="D99" s="7">
        <v>2.9480727896626759</v>
      </c>
    </row>
    <row r="100" spans="1:4">
      <c r="A100" s="6">
        <v>97</v>
      </c>
      <c r="B100" s="6">
        <v>0.95422157339050728</v>
      </c>
      <c r="C100" s="7">
        <v>2.8237140309283308</v>
      </c>
      <c r="D100" s="7">
        <v>2.8237140309283308</v>
      </c>
    </row>
    <row r="101" spans="1:4">
      <c r="A101" s="6">
        <v>98</v>
      </c>
      <c r="B101" s="6">
        <v>0.96635628982401856</v>
      </c>
      <c r="C101" s="7">
        <v>2.7123362762069108</v>
      </c>
      <c r="D101" s="7">
        <v>2.7123362762069108</v>
      </c>
    </row>
    <row r="102" spans="1:4">
      <c r="A102" s="6">
        <v>99</v>
      </c>
      <c r="B102" s="6">
        <v>0.97564403974262037</v>
      </c>
      <c r="C102" s="7">
        <v>2.6156228229336604</v>
      </c>
      <c r="D102" s="7">
        <v>2.6156228229336604</v>
      </c>
    </row>
    <row r="103" spans="1:4">
      <c r="A103" s="6">
        <v>100</v>
      </c>
      <c r="B103" s="6">
        <v>0.98261237739609775</v>
      </c>
      <c r="C103" s="7">
        <v>2.5223904443939609</v>
      </c>
      <c r="D103" s="7">
        <v>2.5223904443939609</v>
      </c>
    </row>
    <row r="104" spans="1:4">
      <c r="A104" s="6">
        <v>101</v>
      </c>
      <c r="B104" s="6">
        <v>0.98785876215199575</v>
      </c>
      <c r="C104" s="7">
        <v>2.4276848806160807</v>
      </c>
      <c r="D104" s="7">
        <v>2.4276848806160807</v>
      </c>
    </row>
    <row r="105" spans="1:4">
      <c r="A105" s="6">
        <v>102</v>
      </c>
      <c r="B105" s="6">
        <v>0.99166008659230309</v>
      </c>
      <c r="C105" s="7">
        <v>2.3506244271124972</v>
      </c>
      <c r="D105" s="7">
        <v>2.3506244271124972</v>
      </c>
    </row>
    <row r="106" spans="1:4">
      <c r="A106" s="6">
        <v>103</v>
      </c>
      <c r="B106" s="6">
        <v>0.99436673876946391</v>
      </c>
      <c r="C106" s="7">
        <v>2.2799059106568431</v>
      </c>
      <c r="D106" s="7">
        <v>2.2799059106568431</v>
      </c>
    </row>
    <row r="107" spans="1:4">
      <c r="A107" s="6">
        <v>104</v>
      </c>
      <c r="B107" s="6">
        <v>0.9962568612768844</v>
      </c>
      <c r="C107" s="7">
        <v>2.2170501797653577</v>
      </c>
      <c r="D107" s="7">
        <v>2.2170501797653577</v>
      </c>
    </row>
    <row r="108" spans="1:4">
      <c r="A108" s="6">
        <v>105</v>
      </c>
      <c r="B108" s="6">
        <v>0.99755011944885963</v>
      </c>
      <c r="C108" s="7">
        <v>2.1626023381903168</v>
      </c>
      <c r="D108" s="7">
        <v>2.1626023381903168</v>
      </c>
    </row>
    <row r="109" spans="1:4">
      <c r="A109" s="6">
        <v>106</v>
      </c>
      <c r="B109" s="6">
        <v>0.99841714687519145</v>
      </c>
      <c r="C109" s="7">
        <v>2.1157618394063005</v>
      </c>
      <c r="D109" s="7">
        <v>2.1157618394063005</v>
      </c>
    </row>
    <row r="110" spans="1:4">
      <c r="A110" s="6">
        <v>107</v>
      </c>
      <c r="B110" s="6">
        <v>0.99898913142893164</v>
      </c>
      <c r="C110" s="7">
        <v>2.0736243625477888</v>
      </c>
      <c r="D110" s="7">
        <v>2.0736243625477888</v>
      </c>
    </row>
    <row r="111" spans="1:4">
      <c r="A111" s="6">
        <v>108</v>
      </c>
      <c r="B111" s="6">
        <v>0.99936185989932458</v>
      </c>
      <c r="C111" s="7">
        <v>2.0343808934021883</v>
      </c>
      <c r="D111" s="7">
        <v>2.0343808934021883</v>
      </c>
    </row>
    <row r="112" spans="1:4">
      <c r="A112" s="6">
        <v>109</v>
      </c>
      <c r="B112" s="6">
        <v>0.99960165508123555</v>
      </c>
      <c r="C112" s="7">
        <v>1.9986480214885942</v>
      </c>
      <c r="D112" s="7">
        <v>1.9986480214885942</v>
      </c>
    </row>
    <row r="113" spans="1:4">
      <c r="A113" s="6">
        <v>110</v>
      </c>
      <c r="B113" s="6">
        <v>0.99975394592878353</v>
      </c>
      <c r="C113" s="7">
        <v>1.9667798638559357</v>
      </c>
      <c r="D113" s="7">
        <v>1.9667798638559357</v>
      </c>
    </row>
    <row r="114" spans="1:4">
      <c r="A114" s="6">
        <v>111</v>
      </c>
      <c r="B114" s="6">
        <v>0.99984944517306629</v>
      </c>
      <c r="C114" s="7">
        <v>1.9387386453361251</v>
      </c>
      <c r="D114" s="7">
        <v>1.9387386453361251</v>
      </c>
    </row>
    <row r="115" spans="1:4">
      <c r="A115" s="6">
        <v>112</v>
      </c>
      <c r="B115" s="6">
        <v>0.99990861442448986</v>
      </c>
      <c r="C115" s="7">
        <v>1.9138226307361665</v>
      </c>
      <c r="D115" s="7">
        <v>1.9138226307361665</v>
      </c>
    </row>
    <row r="116" spans="1:4">
      <c r="A116" s="6">
        <v>113</v>
      </c>
      <c r="B116" s="6">
        <v>0.99994487201711579</v>
      </c>
      <c r="C116" s="7">
        <v>1.8901708348653121</v>
      </c>
      <c r="D116" s="7">
        <v>1.8901708348653121</v>
      </c>
    </row>
    <row r="117" spans="1:4">
      <c r="A117" s="6">
        <v>114</v>
      </c>
      <c r="B117" s="6">
        <v>0.9999668765719959</v>
      </c>
      <c r="C117" s="7">
        <v>1.8638445965426624</v>
      </c>
      <c r="D117" s="7">
        <v>1.8638445965426624</v>
      </c>
    </row>
    <row r="118" spans="1:4">
      <c r="A118" s="6">
        <v>115</v>
      </c>
      <c r="B118" s="6">
        <v>0.99998012594319752</v>
      </c>
      <c r="C118" s="7">
        <v>1.827252331188933</v>
      </c>
      <c r="D118" s="7">
        <v>1.827252331188933</v>
      </c>
    </row>
    <row r="119" spans="1:4">
      <c r="A119" s="6">
        <v>116</v>
      </c>
      <c r="B119" s="6">
        <v>0.99998807556591851</v>
      </c>
      <c r="C119" s="7">
        <v>1.7641743203805667</v>
      </c>
      <c r="D119" s="7">
        <v>1.7641743203805667</v>
      </c>
    </row>
    <row r="120" spans="1:4">
      <c r="A120" s="6">
        <v>117</v>
      </c>
      <c r="B120" s="6">
        <v>0.99999284533955113</v>
      </c>
      <c r="C120" s="7">
        <v>1.6503922934345769</v>
      </c>
      <c r="D120" s="7">
        <v>1.6503922934345769</v>
      </c>
    </row>
    <row r="121" spans="1:4">
      <c r="A121" s="6">
        <v>118</v>
      </c>
      <c r="B121" s="6">
        <v>0.99999570720373065</v>
      </c>
      <c r="C121" s="7">
        <v>1.4544786067047404</v>
      </c>
      <c r="D121" s="7">
        <v>1.4544786067047404</v>
      </c>
    </row>
    <row r="122" spans="1:4">
      <c r="A122" s="6">
        <v>119</v>
      </c>
      <c r="B122" s="6">
        <v>0.99999742432223837</v>
      </c>
      <c r="C122" s="7">
        <v>1.117147890437084</v>
      </c>
      <c r="D122" s="7">
        <v>1.117147890437084</v>
      </c>
    </row>
    <row r="123" spans="1:4">
      <c r="A123" s="6">
        <v>120</v>
      </c>
      <c r="B123" s="6">
        <v>1</v>
      </c>
      <c r="C123" s="7">
        <v>0.53632061881022453</v>
      </c>
      <c r="D123" s="7">
        <v>0.53632061881022453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G70"/>
  <sheetViews>
    <sheetView workbookViewId="0">
      <selection activeCell="G38" sqref="G38"/>
    </sheetView>
  </sheetViews>
  <sheetFormatPr defaultRowHeight="15"/>
  <cols>
    <col min="1" max="1" width="9.140625" style="138"/>
    <col min="2" max="2" width="35.85546875" style="138" bestFit="1" customWidth="1"/>
    <col min="3" max="3" width="26.85546875" style="138" bestFit="1" customWidth="1"/>
    <col min="4" max="4" width="27.5703125" bestFit="1" customWidth="1"/>
    <col min="5" max="5" width="34.28515625" bestFit="1" customWidth="1"/>
    <col min="7" max="7" width="130.28515625" bestFit="1" customWidth="1"/>
  </cols>
  <sheetData>
    <row r="1" spans="1:7">
      <c r="A1" s="139" t="s">
        <v>12</v>
      </c>
      <c r="B1" s="139" t="s">
        <v>148</v>
      </c>
      <c r="C1" s="139" t="s">
        <v>150</v>
      </c>
      <c r="D1" s="139" t="s">
        <v>152</v>
      </c>
      <c r="E1" s="139" t="s">
        <v>153</v>
      </c>
      <c r="G1" s="93" t="s">
        <v>151</v>
      </c>
    </row>
    <row r="2" spans="1:7">
      <c r="A2" s="140">
        <v>1950</v>
      </c>
      <c r="B2" s="138">
        <v>16.66</v>
      </c>
      <c r="C2" s="138">
        <f>B3/B2</f>
        <v>1.2466986794717887</v>
      </c>
      <c r="D2">
        <v>3.2794847161201165E-2</v>
      </c>
      <c r="E2">
        <f>D2*(12^0.5)</f>
        <v>0.11360468301931276</v>
      </c>
      <c r="G2" s="93" t="s">
        <v>149</v>
      </c>
    </row>
    <row r="3" spans="1:7">
      <c r="A3" s="140">
        <v>1951</v>
      </c>
      <c r="B3" s="138">
        <v>20.77</v>
      </c>
      <c r="C3" s="138">
        <f t="shared" ref="C3:C66" si="0">B4/B3</f>
        <v>1.1458834857968223</v>
      </c>
      <c r="D3">
        <v>3.605776304492312E-2</v>
      </c>
      <c r="E3">
        <f t="shared" ref="E3:E66" si="1">D3*(12^0.5)</f>
        <v>0.12490775520217261</v>
      </c>
    </row>
    <row r="4" spans="1:7">
      <c r="A4" s="140">
        <v>1952</v>
      </c>
      <c r="B4" s="138">
        <v>23.8</v>
      </c>
      <c r="C4" s="138">
        <f t="shared" si="0"/>
        <v>1.1151260504201681</v>
      </c>
      <c r="D4">
        <v>3.3356178734455705E-2</v>
      </c>
      <c r="E4">
        <f t="shared" si="1"/>
        <v>0.11554919262885162</v>
      </c>
    </row>
    <row r="5" spans="1:7">
      <c r="A5" s="140">
        <v>1953</v>
      </c>
      <c r="B5" s="138">
        <v>26.54</v>
      </c>
      <c r="C5" s="138">
        <f t="shared" si="0"/>
        <v>0.94009042954031652</v>
      </c>
      <c r="D5">
        <v>2.7505255103111928E-2</v>
      </c>
      <c r="E5">
        <f t="shared" si="1"/>
        <v>9.5280998627465988E-2</v>
      </c>
    </row>
    <row r="6" spans="1:7">
      <c r="A6" s="140">
        <v>1954</v>
      </c>
      <c r="B6" s="138">
        <v>24.95</v>
      </c>
      <c r="C6" s="138">
        <f t="shared" si="0"/>
        <v>1.4729458917835672</v>
      </c>
      <c r="D6">
        <v>3.5998384922874618E-2</v>
      </c>
      <c r="E6">
        <f t="shared" si="1"/>
        <v>0.12470206335368055</v>
      </c>
    </row>
    <row r="7" spans="1:7">
      <c r="A7" s="140">
        <v>1955</v>
      </c>
      <c r="B7" s="138">
        <v>36.75</v>
      </c>
      <c r="C7" s="138">
        <f t="shared" si="0"/>
        <v>1.228843537414966</v>
      </c>
      <c r="D7">
        <v>3.2957941526219045E-2</v>
      </c>
      <c r="E7">
        <f t="shared" si="1"/>
        <v>0.11416965847259106</v>
      </c>
    </row>
    <row r="8" spans="1:7">
      <c r="A8" s="140">
        <v>1956</v>
      </c>
      <c r="B8" s="138">
        <v>45.16</v>
      </c>
      <c r="C8" s="138">
        <f t="shared" si="0"/>
        <v>1.0230292294065546</v>
      </c>
      <c r="D8">
        <v>4.3846870436067512E-2</v>
      </c>
      <c r="E8">
        <f t="shared" si="1"/>
        <v>0.15189001469631733</v>
      </c>
    </row>
    <row r="9" spans="1:7">
      <c r="A9" s="140">
        <v>1957</v>
      </c>
      <c r="B9" s="138">
        <v>46.2</v>
      </c>
      <c r="C9" s="138">
        <f t="shared" si="0"/>
        <v>0.86558441558441557</v>
      </c>
      <c r="D9">
        <v>3.434690669422738E-2</v>
      </c>
      <c r="E9">
        <f t="shared" si="1"/>
        <v>0.11898117495445881</v>
      </c>
    </row>
    <row r="10" spans="1:7">
      <c r="A10" s="140">
        <v>1958</v>
      </c>
      <c r="B10" s="138">
        <v>39.99</v>
      </c>
      <c r="C10" s="138">
        <f t="shared" si="0"/>
        <v>1.3863465866466615</v>
      </c>
      <c r="D10">
        <v>2.0289134362269885E-2</v>
      </c>
      <c r="E10">
        <f t="shared" si="1"/>
        <v>7.0283623114086022E-2</v>
      </c>
    </row>
    <row r="11" spans="1:7">
      <c r="A11" s="140">
        <v>1959</v>
      </c>
      <c r="B11" s="138">
        <v>55.44</v>
      </c>
      <c r="C11" s="138">
        <f t="shared" si="0"/>
        <v>1.0806277056277056</v>
      </c>
      <c r="D11">
        <v>2.1303774290579447E-2</v>
      </c>
      <c r="E11">
        <f t="shared" si="1"/>
        <v>7.379843892852643E-2</v>
      </c>
    </row>
    <row r="12" spans="1:7">
      <c r="A12" s="140">
        <v>1960</v>
      </c>
      <c r="B12" s="138">
        <v>59.91</v>
      </c>
      <c r="C12" s="138">
        <f t="shared" si="0"/>
        <v>0.9609414121181773</v>
      </c>
      <c r="D12">
        <v>3.6468234161550726E-2</v>
      </c>
      <c r="E12">
        <f t="shared" si="1"/>
        <v>0.12632966886024971</v>
      </c>
    </row>
    <row r="13" spans="1:7">
      <c r="A13" s="140">
        <v>1961</v>
      </c>
      <c r="B13" s="138">
        <v>57.57</v>
      </c>
      <c r="C13" s="138">
        <f t="shared" si="0"/>
        <v>1.2325864165363905</v>
      </c>
      <c r="D13">
        <v>2.812346615049012E-2</v>
      </c>
      <c r="E13">
        <f t="shared" si="1"/>
        <v>9.7422544515184784E-2</v>
      </c>
    </row>
    <row r="14" spans="1:7">
      <c r="A14" s="140">
        <v>1962</v>
      </c>
      <c r="B14" s="138">
        <v>70.959999999999994</v>
      </c>
      <c r="C14" s="138">
        <f t="shared" si="0"/>
        <v>0.88345546786922213</v>
      </c>
      <c r="D14">
        <v>5.7066433734975795E-2</v>
      </c>
      <c r="E14">
        <f t="shared" si="1"/>
        <v>0.19768392527148129</v>
      </c>
    </row>
    <row r="15" spans="1:7">
      <c r="A15" s="140">
        <v>1963</v>
      </c>
      <c r="B15" s="138">
        <v>62.69</v>
      </c>
      <c r="C15" s="138">
        <f t="shared" si="0"/>
        <v>1.2032222044983252</v>
      </c>
      <c r="D15">
        <v>2.9124657122412554E-2</v>
      </c>
      <c r="E15">
        <f t="shared" si="1"/>
        <v>0.10089077177808263</v>
      </c>
    </row>
    <row r="16" spans="1:7">
      <c r="A16" s="140">
        <v>1964</v>
      </c>
      <c r="B16" s="138">
        <v>75.430000000000007</v>
      </c>
      <c r="C16" s="138">
        <f t="shared" si="0"/>
        <v>1.1166644571125546</v>
      </c>
      <c r="D16">
        <v>1.2608192466645685E-2</v>
      </c>
      <c r="E16">
        <f t="shared" si="1"/>
        <v>4.3676059887674985E-2</v>
      </c>
    </row>
    <row r="17" spans="1:5">
      <c r="A17" s="140">
        <v>1965</v>
      </c>
      <c r="B17" s="138">
        <v>84.23</v>
      </c>
      <c r="C17" s="138">
        <f t="shared" si="0"/>
        <v>1.0943844236020421</v>
      </c>
      <c r="D17">
        <v>2.4943652443920709E-2</v>
      </c>
      <c r="E17">
        <f t="shared" si="1"/>
        <v>8.6407346718420527E-2</v>
      </c>
    </row>
    <row r="18" spans="1:5">
      <c r="A18" s="140">
        <v>1966</v>
      </c>
      <c r="B18" s="138">
        <v>92.18</v>
      </c>
      <c r="C18" s="138">
        <f t="shared" si="0"/>
        <v>0.87198958559340412</v>
      </c>
      <c r="D18">
        <v>3.212455891728138E-2</v>
      </c>
      <c r="E18">
        <f t="shared" si="1"/>
        <v>0.11128273643094239</v>
      </c>
    </row>
    <row r="19" spans="1:5">
      <c r="A19" s="140">
        <v>1967</v>
      </c>
      <c r="B19" s="138">
        <v>80.38</v>
      </c>
      <c r="C19" s="138">
        <f t="shared" si="0"/>
        <v>1.1956954466285146</v>
      </c>
      <c r="D19">
        <v>3.6559368241127231E-2</v>
      </c>
      <c r="E19">
        <f t="shared" si="1"/>
        <v>0.12664536657250478</v>
      </c>
    </row>
    <row r="20" spans="1:5">
      <c r="A20" s="140">
        <v>1968</v>
      </c>
      <c r="B20" s="138">
        <v>96.11</v>
      </c>
      <c r="C20" s="138">
        <f t="shared" si="0"/>
        <v>1.0813651024867341</v>
      </c>
      <c r="D20">
        <v>3.5519958173452111E-2</v>
      </c>
      <c r="E20">
        <f t="shared" si="1"/>
        <v>0.12304474447828094</v>
      </c>
    </row>
    <row r="21" spans="1:5">
      <c r="A21" s="140">
        <v>1969</v>
      </c>
      <c r="B21" s="138">
        <v>103.93</v>
      </c>
      <c r="C21" s="138">
        <f t="shared" si="0"/>
        <v>0.89483306071394197</v>
      </c>
      <c r="D21">
        <v>3.694800025912684E-2</v>
      </c>
      <c r="E21">
        <f t="shared" si="1"/>
        <v>0.12799162737375144</v>
      </c>
    </row>
    <row r="22" spans="1:5">
      <c r="A22" s="140">
        <v>1970</v>
      </c>
      <c r="B22" s="138">
        <v>93</v>
      </c>
      <c r="C22" s="138">
        <f t="shared" si="0"/>
        <v>0.98010752688172054</v>
      </c>
      <c r="D22">
        <v>5.810789973858671E-2</v>
      </c>
      <c r="E22">
        <f t="shared" si="1"/>
        <v>0.20129166933670092</v>
      </c>
    </row>
    <row r="23" spans="1:5">
      <c r="A23" s="140">
        <v>1971</v>
      </c>
      <c r="B23" s="138">
        <v>91.15</v>
      </c>
      <c r="C23" s="138">
        <f t="shared" si="0"/>
        <v>1.1154141524958858</v>
      </c>
      <c r="D23">
        <v>3.924854055833242E-2</v>
      </c>
      <c r="E23">
        <f t="shared" si="1"/>
        <v>0.13596093273991899</v>
      </c>
    </row>
    <row r="24" spans="1:5">
      <c r="A24" s="140">
        <v>1972</v>
      </c>
      <c r="B24" s="138">
        <v>101.67</v>
      </c>
      <c r="C24" s="138">
        <f t="shared" si="0"/>
        <v>1.1714370020655061</v>
      </c>
      <c r="D24">
        <v>1.7835375229629503E-2</v>
      </c>
      <c r="E24">
        <f t="shared" si="1"/>
        <v>6.1783552139547462E-2</v>
      </c>
    </row>
    <row r="25" spans="1:5">
      <c r="A25" s="140">
        <v>1973</v>
      </c>
      <c r="B25" s="138">
        <v>119.1</v>
      </c>
      <c r="C25" s="138">
        <f t="shared" si="0"/>
        <v>0.82015113350125957</v>
      </c>
      <c r="D25">
        <v>4.1693661171136209E-2</v>
      </c>
      <c r="E25">
        <f t="shared" si="1"/>
        <v>0.14443107900393923</v>
      </c>
    </row>
    <row r="26" spans="1:5">
      <c r="A26" s="140">
        <v>1974</v>
      </c>
      <c r="B26" s="138">
        <v>97.68</v>
      </c>
      <c r="C26" s="138">
        <f t="shared" si="0"/>
        <v>0.71898034398034394</v>
      </c>
      <c r="D26">
        <v>6.9632984659154559E-2</v>
      </c>
      <c r="E26">
        <f t="shared" si="1"/>
        <v>0.24121573462463977</v>
      </c>
    </row>
    <row r="27" spans="1:5">
      <c r="A27" s="140">
        <v>1975</v>
      </c>
      <c r="B27" s="138">
        <v>70.23</v>
      </c>
      <c r="C27" s="138">
        <f t="shared" si="0"/>
        <v>1.2943186672362239</v>
      </c>
      <c r="D27">
        <v>5.1063611257313887E-2</v>
      </c>
      <c r="E27">
        <f t="shared" si="1"/>
        <v>0.17688953823122747</v>
      </c>
    </row>
    <row r="28" spans="1:5">
      <c r="A28" s="140">
        <v>1976</v>
      </c>
      <c r="B28" s="138">
        <v>90.9</v>
      </c>
      <c r="C28" s="138">
        <f t="shared" si="0"/>
        <v>1.1771177117711771</v>
      </c>
      <c r="D28">
        <v>4.0597130876892006E-2</v>
      </c>
      <c r="E28">
        <f t="shared" si="1"/>
        <v>0.14063258664060038</v>
      </c>
    </row>
    <row r="29" spans="1:5">
      <c r="A29" s="140">
        <v>1977</v>
      </c>
      <c r="B29" s="138">
        <v>107</v>
      </c>
      <c r="C29" s="138">
        <f t="shared" si="0"/>
        <v>0.87682242990654202</v>
      </c>
      <c r="D29">
        <v>2.7376957019386874E-2</v>
      </c>
      <c r="E29">
        <f t="shared" si="1"/>
        <v>9.4836561028414951E-2</v>
      </c>
    </row>
    <row r="30" spans="1:5">
      <c r="A30" s="140">
        <v>1978</v>
      </c>
      <c r="B30" s="138">
        <v>93.82</v>
      </c>
      <c r="C30" s="138">
        <f t="shared" si="0"/>
        <v>1.0310168407589002</v>
      </c>
      <c r="D30">
        <v>4.5919952839032066E-2</v>
      </c>
      <c r="E30">
        <f t="shared" si="1"/>
        <v>0.15907138279674049</v>
      </c>
    </row>
    <row r="31" spans="1:5">
      <c r="A31" s="140">
        <v>1979</v>
      </c>
      <c r="B31" s="138">
        <v>96.73</v>
      </c>
      <c r="C31" s="138">
        <f t="shared" si="0"/>
        <v>1.0933526310348392</v>
      </c>
      <c r="D31">
        <v>3.8568095895979357E-2</v>
      </c>
      <c r="E31">
        <f t="shared" si="1"/>
        <v>0.1336038032860499</v>
      </c>
    </row>
    <row r="32" spans="1:5">
      <c r="A32" s="140">
        <v>1980</v>
      </c>
      <c r="B32" s="138">
        <v>105.76</v>
      </c>
      <c r="C32" s="138">
        <f t="shared" si="0"/>
        <v>1.2891452344931922</v>
      </c>
      <c r="D32">
        <v>5.2224839361207143E-2</v>
      </c>
      <c r="E32">
        <f t="shared" si="1"/>
        <v>0.18091215038146743</v>
      </c>
    </row>
    <row r="33" spans="1:5">
      <c r="A33" s="140">
        <v>1981</v>
      </c>
      <c r="B33" s="138">
        <v>136.34</v>
      </c>
      <c r="C33" s="138">
        <f t="shared" si="0"/>
        <v>0.90024937655860338</v>
      </c>
      <c r="D33">
        <v>3.7052367529995203E-2</v>
      </c>
      <c r="E33">
        <f t="shared" si="1"/>
        <v>0.12835316620533407</v>
      </c>
    </row>
    <row r="34" spans="1:5">
      <c r="A34" s="140">
        <v>1982</v>
      </c>
      <c r="B34" s="138">
        <v>122.74</v>
      </c>
      <c r="C34" s="138">
        <f t="shared" si="0"/>
        <v>1.1270979305849764</v>
      </c>
      <c r="D34">
        <v>5.294562290309645E-2</v>
      </c>
      <c r="E34">
        <f t="shared" si="1"/>
        <v>0.18340901781309088</v>
      </c>
    </row>
    <row r="35" spans="1:5">
      <c r="A35" s="140">
        <v>1983</v>
      </c>
      <c r="B35" s="138">
        <v>138.34</v>
      </c>
      <c r="C35" s="138">
        <f t="shared" si="0"/>
        <v>1.1857741795576116</v>
      </c>
      <c r="D35">
        <v>2.911733039675914E-2</v>
      </c>
      <c r="E35">
        <f t="shared" si="1"/>
        <v>0.10086539125591297</v>
      </c>
    </row>
    <row r="36" spans="1:5">
      <c r="A36" s="140">
        <v>1984</v>
      </c>
      <c r="B36" s="138">
        <v>164.04</v>
      </c>
      <c r="C36" s="138">
        <f t="shared" si="0"/>
        <v>1.0081077785905876</v>
      </c>
      <c r="D36">
        <v>4.033079931868102E-2</v>
      </c>
      <c r="E36">
        <f t="shared" si="1"/>
        <v>0.13970998705963955</v>
      </c>
    </row>
    <row r="37" spans="1:5">
      <c r="A37" s="140">
        <v>1985</v>
      </c>
      <c r="B37" s="138">
        <v>165.37</v>
      </c>
      <c r="C37" s="138">
        <f t="shared" si="0"/>
        <v>1.2674003749168532</v>
      </c>
      <c r="D37">
        <v>3.4705011953419053E-2</v>
      </c>
      <c r="E37">
        <f t="shared" si="1"/>
        <v>0.12022168796121402</v>
      </c>
    </row>
    <row r="38" spans="1:5">
      <c r="A38" s="140">
        <v>1986</v>
      </c>
      <c r="B38" s="138">
        <v>209.59</v>
      </c>
      <c r="C38" s="138">
        <f t="shared" si="0"/>
        <v>1.1758671692351734</v>
      </c>
      <c r="D38">
        <v>5.0926484240290386E-2</v>
      </c>
      <c r="E38">
        <f t="shared" si="1"/>
        <v>0.17641451631007732</v>
      </c>
    </row>
    <row r="39" spans="1:5">
      <c r="A39" s="140">
        <v>1987</v>
      </c>
      <c r="B39" s="138">
        <v>246.45</v>
      </c>
      <c r="C39" s="138">
        <f t="shared" si="0"/>
        <v>1.0385067965104484</v>
      </c>
      <c r="D39">
        <v>8.8319369368868056E-2</v>
      </c>
      <c r="E39">
        <f t="shared" si="1"/>
        <v>0.30594727007864375</v>
      </c>
    </row>
    <row r="40" spans="1:5">
      <c r="A40" s="140">
        <v>1988</v>
      </c>
      <c r="B40" s="138">
        <v>255.94</v>
      </c>
      <c r="C40" s="138">
        <f t="shared" si="0"/>
        <v>1.0756818004219739</v>
      </c>
      <c r="D40">
        <v>2.9489685660183212E-2</v>
      </c>
      <c r="E40">
        <f t="shared" si="1"/>
        <v>0.10215526772534533</v>
      </c>
    </row>
    <row r="41" spans="1:5">
      <c r="A41" s="140">
        <v>1989</v>
      </c>
      <c r="B41" s="138">
        <v>275.31</v>
      </c>
      <c r="C41" s="138">
        <f t="shared" si="0"/>
        <v>1.3064908648432676</v>
      </c>
      <c r="D41">
        <v>3.6137278646909014E-2</v>
      </c>
      <c r="E41">
        <f t="shared" si="1"/>
        <v>0.12518320532744059</v>
      </c>
    </row>
    <row r="42" spans="1:5">
      <c r="A42" s="140">
        <v>1990</v>
      </c>
      <c r="B42" s="138">
        <v>359.69</v>
      </c>
      <c r="C42" s="138">
        <f t="shared" si="0"/>
        <v>0.90758708888209294</v>
      </c>
      <c r="D42">
        <v>5.2427575405070731E-2</v>
      </c>
      <c r="E42">
        <f t="shared" si="1"/>
        <v>0.18161444863846193</v>
      </c>
    </row>
    <row r="43" spans="1:5">
      <c r="A43" s="140">
        <v>1991</v>
      </c>
      <c r="B43" s="138">
        <v>326.45</v>
      </c>
      <c r="C43" s="138">
        <f t="shared" si="0"/>
        <v>1.2781742992801348</v>
      </c>
      <c r="D43">
        <v>4.5513199131032044E-2</v>
      </c>
      <c r="E43">
        <f t="shared" si="1"/>
        <v>0.15766234661989434</v>
      </c>
    </row>
    <row r="44" spans="1:5">
      <c r="A44" s="140">
        <v>1992</v>
      </c>
      <c r="B44" s="138">
        <v>417.26</v>
      </c>
      <c r="C44" s="138">
        <f t="shared" si="0"/>
        <v>1.0434261611465274</v>
      </c>
      <c r="D44">
        <v>2.1473178758907977E-2</v>
      </c>
      <c r="E44">
        <f t="shared" si="1"/>
        <v>7.4385273220874848E-2</v>
      </c>
    </row>
    <row r="45" spans="1:5">
      <c r="A45" s="140">
        <v>1993</v>
      </c>
      <c r="B45" s="138">
        <v>435.38</v>
      </c>
      <c r="C45" s="138">
        <f t="shared" si="0"/>
        <v>1.069043134732877</v>
      </c>
      <c r="D45">
        <v>1.7087590533264183E-2</v>
      </c>
      <c r="E45">
        <f t="shared" si="1"/>
        <v>5.9193149965093055E-2</v>
      </c>
    </row>
    <row r="46" spans="1:5">
      <c r="A46" s="140">
        <v>1994</v>
      </c>
      <c r="B46" s="138">
        <v>465.44</v>
      </c>
      <c r="C46" s="138">
        <f t="shared" si="0"/>
        <v>0.98639996562392573</v>
      </c>
      <c r="D46">
        <v>3.0672366325026255E-2</v>
      </c>
      <c r="E46">
        <f t="shared" si="1"/>
        <v>0.10625219372662031</v>
      </c>
    </row>
    <row r="47" spans="1:5">
      <c r="A47" s="140">
        <v>1995</v>
      </c>
      <c r="B47" s="138">
        <v>459.11</v>
      </c>
      <c r="C47" s="138">
        <f t="shared" si="0"/>
        <v>1.3520289255298295</v>
      </c>
      <c r="D47">
        <v>1.4787971836476311E-2</v>
      </c>
      <c r="E47">
        <f t="shared" si="1"/>
        <v>5.1227037123349209E-2</v>
      </c>
    </row>
    <row r="48" spans="1:5">
      <c r="A48" s="140">
        <v>1996</v>
      </c>
      <c r="B48" s="138">
        <v>620.73</v>
      </c>
      <c r="C48" s="138">
        <f t="shared" si="0"/>
        <v>1.1873278236914599</v>
      </c>
      <c r="D48">
        <v>3.1254489053492734E-2</v>
      </c>
      <c r="E48">
        <f t="shared" si="1"/>
        <v>0.10826872601050945</v>
      </c>
    </row>
    <row r="49" spans="1:5">
      <c r="A49" s="140">
        <v>1997</v>
      </c>
      <c r="B49" s="138">
        <v>737.01</v>
      </c>
      <c r="C49" s="138">
        <f t="shared" si="0"/>
        <v>1.3229671239196212</v>
      </c>
      <c r="D49">
        <v>4.5962363540687737E-2</v>
      </c>
      <c r="E49">
        <f t="shared" si="1"/>
        <v>0.15921829777684501</v>
      </c>
    </row>
    <row r="50" spans="1:5">
      <c r="A50" s="140">
        <v>1998</v>
      </c>
      <c r="B50" s="138">
        <v>975.04</v>
      </c>
      <c r="C50" s="138">
        <f t="shared" si="0"/>
        <v>1.2595380702330161</v>
      </c>
      <c r="D50">
        <v>6.1998237430652026E-2</v>
      </c>
      <c r="E50">
        <f t="shared" si="1"/>
        <v>0.21476819441921566</v>
      </c>
    </row>
    <row r="51" spans="1:5">
      <c r="A51" s="140">
        <v>1999</v>
      </c>
      <c r="B51" s="138">
        <v>1228.0999999999999</v>
      </c>
      <c r="C51" s="138">
        <f t="shared" si="0"/>
        <v>1.1849360801237685</v>
      </c>
      <c r="D51">
        <v>3.7931710925877146E-2</v>
      </c>
      <c r="E51">
        <f t="shared" si="1"/>
        <v>0.13139930108326942</v>
      </c>
    </row>
    <row r="52" spans="1:5">
      <c r="A52" s="140">
        <v>2000</v>
      </c>
      <c r="B52" s="138">
        <v>1455.22</v>
      </c>
      <c r="C52" s="138">
        <f t="shared" si="0"/>
        <v>0.88183917208394602</v>
      </c>
      <c r="D52">
        <v>4.9443811324904663E-2</v>
      </c>
      <c r="E52">
        <f t="shared" si="1"/>
        <v>0.17127838666916864</v>
      </c>
    </row>
    <row r="53" spans="1:5">
      <c r="A53" s="140">
        <v>2001</v>
      </c>
      <c r="B53" s="138">
        <v>1283.27</v>
      </c>
      <c r="C53" s="138">
        <f t="shared" si="0"/>
        <v>0.89978726222852567</v>
      </c>
      <c r="D53">
        <v>5.7301235581744124E-2</v>
      </c>
      <c r="E53">
        <f t="shared" si="1"/>
        <v>0.19849730272810878</v>
      </c>
    </row>
    <row r="54" spans="1:5">
      <c r="A54" s="140">
        <v>2002</v>
      </c>
      <c r="B54" s="138">
        <v>1154.67</v>
      </c>
      <c r="C54" s="138">
        <f t="shared" si="0"/>
        <v>0.78726389357998383</v>
      </c>
      <c r="D54">
        <v>5.9488276582308507E-2</v>
      </c>
      <c r="E54">
        <f t="shared" si="1"/>
        <v>0.20607343499053635</v>
      </c>
    </row>
    <row r="55" spans="1:5">
      <c r="A55" s="140">
        <v>2003</v>
      </c>
      <c r="B55" s="138">
        <v>909.03</v>
      </c>
      <c r="C55" s="138">
        <f t="shared" si="0"/>
        <v>1.2194097004499302</v>
      </c>
      <c r="D55">
        <v>3.2867089386786216E-2</v>
      </c>
      <c r="E55">
        <f t="shared" si="1"/>
        <v>0.11385493742964307</v>
      </c>
    </row>
    <row r="56" spans="1:5">
      <c r="A56" s="140">
        <v>2004</v>
      </c>
      <c r="B56" s="138">
        <v>1108.48</v>
      </c>
      <c r="C56" s="138">
        <f t="shared" si="0"/>
        <v>1.0717829821016165</v>
      </c>
      <c r="D56">
        <v>2.0925951201904811E-2</v>
      </c>
      <c r="E56">
        <f t="shared" si="1"/>
        <v>7.2489621356812292E-2</v>
      </c>
    </row>
    <row r="57" spans="1:5">
      <c r="A57" s="140">
        <v>2005</v>
      </c>
      <c r="B57" s="138">
        <v>1188.05</v>
      </c>
      <c r="C57" s="138">
        <f t="shared" si="0"/>
        <v>1.067968519843441</v>
      </c>
      <c r="D57">
        <v>2.2559378075238182E-2</v>
      </c>
      <c r="E57">
        <f t="shared" si="1"/>
        <v>7.8147978026935835E-2</v>
      </c>
    </row>
    <row r="58" spans="1:5">
      <c r="A58" s="140">
        <v>2006</v>
      </c>
      <c r="B58" s="138">
        <v>1268.8</v>
      </c>
      <c r="C58" s="138">
        <f t="shared" si="0"/>
        <v>1.1164880201765448</v>
      </c>
      <c r="D58">
        <v>1.6501527667087776E-2</v>
      </c>
      <c r="E58">
        <f t="shared" si="1"/>
        <v>5.7162968643799106E-2</v>
      </c>
    </row>
    <row r="59" spans="1:5">
      <c r="A59" s="140">
        <v>2007</v>
      </c>
      <c r="B59" s="138">
        <v>1416.6</v>
      </c>
      <c r="C59" s="138">
        <f t="shared" si="0"/>
        <v>1.036284060426373</v>
      </c>
      <c r="D59">
        <v>2.7729824008804631E-2</v>
      </c>
      <c r="E59">
        <f t="shared" si="1"/>
        <v>9.6058928136385807E-2</v>
      </c>
    </row>
    <row r="60" spans="1:5">
      <c r="A60" s="140">
        <v>2008</v>
      </c>
      <c r="B60" s="138">
        <v>1468</v>
      </c>
      <c r="C60" s="138">
        <f t="shared" si="0"/>
        <v>0.61512261580381467</v>
      </c>
      <c r="D60">
        <v>6.20692467320118E-2</v>
      </c>
      <c r="E60">
        <f t="shared" si="1"/>
        <v>0.21501417785474586</v>
      </c>
    </row>
    <row r="61" spans="1:5">
      <c r="A61" s="140">
        <v>2009</v>
      </c>
      <c r="B61" s="138">
        <v>903</v>
      </c>
      <c r="C61" s="138">
        <f t="shared" si="0"/>
        <v>1.2365006190476189</v>
      </c>
      <c r="D61">
        <v>6.6726009492958649E-2</v>
      </c>
      <c r="E61">
        <f t="shared" si="1"/>
        <v>0.23114567725625518</v>
      </c>
    </row>
    <row r="62" spans="1:5">
      <c r="A62" s="140">
        <v>2010</v>
      </c>
      <c r="B62" s="138">
        <v>1116.5600589999999</v>
      </c>
      <c r="C62" s="138">
        <f t="shared" si="0"/>
        <v>1.1263343918340896</v>
      </c>
      <c r="D62">
        <v>5.6884470702991762E-2</v>
      </c>
      <c r="E62">
        <f t="shared" si="1"/>
        <v>0.19705358683849003</v>
      </c>
    </row>
    <row r="63" spans="1:5">
      <c r="A63" s="140">
        <v>2011</v>
      </c>
      <c r="B63" s="138">
        <v>1257.619995</v>
      </c>
      <c r="C63" s="138">
        <f t="shared" si="0"/>
        <v>1.0009859814609579</v>
      </c>
      <c r="D63">
        <v>4.5749518341876128E-2</v>
      </c>
      <c r="E63">
        <f t="shared" si="1"/>
        <v>0.15848098037986741</v>
      </c>
    </row>
    <row r="64" spans="1:5">
      <c r="A64" s="140">
        <v>2012</v>
      </c>
      <c r="B64" s="138">
        <v>1258.8599850000001</v>
      </c>
      <c r="C64" s="138">
        <f t="shared" si="0"/>
        <v>1.1329218165592896</v>
      </c>
      <c r="D64">
        <v>3.0508398277620561E-2</v>
      </c>
      <c r="E64">
        <f t="shared" si="1"/>
        <v>0.10568419174877126</v>
      </c>
    </row>
    <row r="65" spans="1:5">
      <c r="A65" s="140">
        <v>2013</v>
      </c>
      <c r="B65" s="138">
        <v>1426.1899410000001</v>
      </c>
      <c r="C65" s="138">
        <f t="shared" si="0"/>
        <v>1.2942595736622153</v>
      </c>
      <c r="D65">
        <v>2.4571316373403696E-2</v>
      </c>
      <c r="E65">
        <f t="shared" si="1"/>
        <v>8.5117536735168489E-2</v>
      </c>
    </row>
    <row r="66" spans="1:5">
      <c r="A66" s="140">
        <v>2014</v>
      </c>
      <c r="B66" s="138">
        <v>1845.8599850000001</v>
      </c>
      <c r="C66" s="138">
        <f t="shared" si="0"/>
        <v>1.1154149928657779</v>
      </c>
      <c r="D66">
        <v>2.3312964588378705E-2</v>
      </c>
      <c r="E66">
        <f t="shared" si="1"/>
        <v>8.075847828425195E-2</v>
      </c>
    </row>
    <row r="67" spans="1:5">
      <c r="A67" s="140">
        <v>2015</v>
      </c>
      <c r="B67" s="138">
        <v>2058.8999020000001</v>
      </c>
      <c r="C67" s="138">
        <f t="shared" ref="C67:C70" si="2">B68/B67</f>
        <v>0.98994611103731056</v>
      </c>
      <c r="D67">
        <v>3.9706154316284888E-2</v>
      </c>
      <c r="E67">
        <f t="shared" ref="E67:E70" si="3">D67*(12^0.5)</f>
        <v>0.13754615329795139</v>
      </c>
    </row>
    <row r="68" spans="1:5">
      <c r="A68" s="140">
        <v>2016</v>
      </c>
      <c r="B68" s="138">
        <v>2038.1999510000001</v>
      </c>
      <c r="C68" s="138">
        <f t="shared" si="2"/>
        <v>1.1046855667400612</v>
      </c>
      <c r="D68">
        <v>2.8222528540879914E-2</v>
      </c>
      <c r="E68">
        <f t="shared" si="3"/>
        <v>9.7765706701733485E-2</v>
      </c>
    </row>
    <row r="69" spans="1:5">
      <c r="A69" s="140">
        <v>2017</v>
      </c>
      <c r="B69" s="138">
        <v>2251.570068</v>
      </c>
      <c r="C69" s="138">
        <f t="shared" si="2"/>
        <v>1.1919371367304925</v>
      </c>
      <c r="D69">
        <v>1.2653109243116077E-2</v>
      </c>
      <c r="E69">
        <f t="shared" si="3"/>
        <v>4.3831656165592849E-2</v>
      </c>
    </row>
    <row r="70" spans="1:5">
      <c r="A70" s="140">
        <v>2018</v>
      </c>
      <c r="B70" s="138">
        <v>2683.7299800000001</v>
      </c>
    </row>
  </sheetData>
  <hyperlinks>
    <hyperlink ref="G2" r:id="rId1" xr:uid="{E0F10509-1FF0-4F03-96EE-E7F67EFF51F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D57"/>
  <sheetViews>
    <sheetView workbookViewId="0">
      <selection activeCell="AB1" sqref="AB1"/>
    </sheetView>
  </sheetViews>
  <sheetFormatPr defaultRowHeight="15"/>
  <cols>
    <col min="1" max="1" width="12.7109375" style="103" customWidth="1"/>
    <col min="2" max="4" width="12.7109375" style="1" customWidth="1"/>
    <col min="5" max="5" width="12.7109375" style="102" customWidth="1"/>
    <col min="6" max="9" width="12.7109375" style="1" customWidth="1"/>
    <col min="10" max="10" width="20.28515625" style="1" customWidth="1"/>
    <col min="11" max="11" width="17.5703125" customWidth="1"/>
    <col min="12" max="12" width="15.140625" customWidth="1"/>
    <col min="16" max="19" width="12.7109375" style="1" customWidth="1"/>
    <col min="20" max="20" width="20.28515625" style="1" customWidth="1"/>
    <col min="21" max="21" width="17.5703125" customWidth="1"/>
    <col min="22" max="22" width="12.5703125" bestFit="1" customWidth="1"/>
    <col min="24" max="24" width="16.42578125" customWidth="1"/>
    <col min="25" max="26" width="10.7109375" bestFit="1" customWidth="1"/>
    <col min="28" max="28" width="18.42578125" bestFit="1" customWidth="1"/>
    <col min="29" max="29" width="13.42578125" customWidth="1"/>
    <col min="30" max="30" width="16.28515625" customWidth="1"/>
  </cols>
  <sheetData>
    <row r="1" spans="1:29">
      <c r="A1" s="129" t="s">
        <v>2</v>
      </c>
      <c r="B1" s="129"/>
      <c r="C1" s="129"/>
      <c r="D1" s="129"/>
      <c r="F1" s="129" t="s">
        <v>143</v>
      </c>
      <c r="G1" s="129"/>
      <c r="H1" s="129"/>
      <c r="J1" s="134" t="s">
        <v>161</v>
      </c>
      <c r="K1" s="93">
        <f>0.0776-0.0042</f>
        <v>7.3400000000000007E-2</v>
      </c>
      <c r="P1" s="129" t="s">
        <v>144</v>
      </c>
      <c r="Q1" s="129"/>
      <c r="R1" s="129"/>
      <c r="T1" s="134" t="s">
        <v>161</v>
      </c>
      <c r="U1" s="93">
        <f>0.0776-0.0042</f>
        <v>7.3400000000000007E-2</v>
      </c>
      <c r="X1" s="129" t="s">
        <v>145</v>
      </c>
      <c r="Y1" s="129"/>
      <c r="Z1" s="129"/>
      <c r="AA1" s="1"/>
      <c r="AB1" s="134" t="s">
        <v>161</v>
      </c>
      <c r="AC1" s="93">
        <f>0.0776-0.0042</f>
        <v>7.3400000000000007E-2</v>
      </c>
    </row>
    <row r="2" spans="1:29">
      <c r="A2" s="103" t="s">
        <v>3</v>
      </c>
      <c r="B2" s="1" t="s">
        <v>109</v>
      </c>
      <c r="C2" s="1" t="s">
        <v>110</v>
      </c>
      <c r="D2" s="1" t="s">
        <v>111</v>
      </c>
      <c r="F2" s="1" t="s">
        <v>109</v>
      </c>
      <c r="G2" s="1" t="s">
        <v>110</v>
      </c>
      <c r="H2" s="1" t="s">
        <v>111</v>
      </c>
      <c r="I2" s="130">
        <v>0.04</v>
      </c>
      <c r="J2" s="1" t="s">
        <v>140</v>
      </c>
      <c r="K2" s="1" t="s">
        <v>141</v>
      </c>
      <c r="L2" s="1" t="s">
        <v>142</v>
      </c>
      <c r="P2" s="1" t="s">
        <v>109</v>
      </c>
      <c r="Q2" s="1" t="s">
        <v>110</v>
      </c>
      <c r="R2" s="1" t="s">
        <v>111</v>
      </c>
      <c r="S2" s="130">
        <v>0.04</v>
      </c>
      <c r="T2" s="1" t="s">
        <v>140</v>
      </c>
      <c r="U2" s="1" t="s">
        <v>141</v>
      </c>
      <c r="V2" s="1" t="s">
        <v>142</v>
      </c>
      <c r="X2" s="1" t="s">
        <v>109</v>
      </c>
      <c r="Y2" s="1" t="s">
        <v>110</v>
      </c>
      <c r="Z2" s="1" t="s">
        <v>111</v>
      </c>
      <c r="AA2" s="128">
        <v>0.08</v>
      </c>
      <c r="AB2" s="1" t="s">
        <v>140</v>
      </c>
    </row>
    <row r="3" spans="1:29">
      <c r="A3" s="103">
        <v>25</v>
      </c>
      <c r="B3" s="1">
        <v>50000</v>
      </c>
      <c r="C3" s="1">
        <f t="shared" ref="C3:C11" si="0">C4/1.0424</f>
        <v>33008.514295523877</v>
      </c>
      <c r="D3" s="1">
        <f t="shared" ref="D3:D21" si="1">D4/1.0424</f>
        <v>21791.240319956094</v>
      </c>
      <c r="E3" s="102">
        <v>1</v>
      </c>
      <c r="F3" s="1">
        <f>B3*0.04</f>
        <v>2000</v>
      </c>
      <c r="G3" s="1">
        <f t="shared" ref="G3:H12" si="2">C3*0.04</f>
        <v>1320.3405718209551</v>
      </c>
      <c r="H3" s="1">
        <f t="shared" si="2"/>
        <v>871.64961279824377</v>
      </c>
      <c r="I3" s="130"/>
      <c r="J3" s="1">
        <f>$F3*(1+$K$1)^(64-$A3)</f>
        <v>31676.124609664574</v>
      </c>
      <c r="K3" s="1">
        <f>$F3*(1+$K$1)^(54-$A3)</f>
        <v>15599.695933404393</v>
      </c>
      <c r="L3" s="1">
        <f>$F3*(1+$K$1)^(44-$A3)</f>
        <v>7682.4585145250294</v>
      </c>
      <c r="P3" s="1">
        <f>$B3*0.04</f>
        <v>2000</v>
      </c>
      <c r="Q3" s="1">
        <f t="shared" ref="Q3:Q12" si="3">M3*0.04</f>
        <v>0</v>
      </c>
      <c r="R3" s="1">
        <f t="shared" ref="R3:R10" si="4">N3*0.04</f>
        <v>0</v>
      </c>
      <c r="S3" s="130"/>
      <c r="T3" s="1">
        <f>$P3*(1+$U$1)^(64-$A3)</f>
        <v>31676.124609664574</v>
      </c>
      <c r="U3" s="1">
        <f>$P3*(1+$U$1)^(54-$A3)</f>
        <v>15599.695933404393</v>
      </c>
      <c r="V3" s="1">
        <f>$P3*(1+$U$1)^(44-$A3)</f>
        <v>7682.4585145250294</v>
      </c>
      <c r="X3" s="1">
        <f>$B3*0.08</f>
        <v>4000</v>
      </c>
      <c r="Y3" s="1"/>
      <c r="Z3" s="1"/>
      <c r="AA3" s="128"/>
      <c r="AB3" s="1">
        <f>X3*(1+$U$1)^(64-$A3)</f>
        <v>63352.249219329147</v>
      </c>
    </row>
    <row r="4" spans="1:29">
      <c r="A4" s="103">
        <v>26</v>
      </c>
      <c r="B4" s="1">
        <f>B3*1.0424</f>
        <v>52120</v>
      </c>
      <c r="C4" s="1">
        <f t="shared" si="0"/>
        <v>34408.075301654091</v>
      </c>
      <c r="D4" s="1">
        <f t="shared" si="1"/>
        <v>22715.188909522232</v>
      </c>
      <c r="E4" s="102">
        <v>2</v>
      </c>
      <c r="F4" s="1">
        <f t="shared" ref="F4:F12" si="5">B4*0.04</f>
        <v>2084.8000000000002</v>
      </c>
      <c r="G4" s="1">
        <f t="shared" si="2"/>
        <v>1376.3230120661638</v>
      </c>
      <c r="H4" s="1">
        <f t="shared" si="2"/>
        <v>908.60755638088926</v>
      </c>
      <c r="I4" s="130"/>
      <c r="J4" s="1">
        <f t="shared" ref="J4:J42" si="6">$F4*(1+$K$1)^(64-$A4)</f>
        <v>30761.311992839906</v>
      </c>
      <c r="K4" s="1">
        <f t="shared" ref="K4:K32" si="7">$F4*(1+$K$1)^(54-$A4)</f>
        <v>15149.173691988764</v>
      </c>
      <c r="L4" s="1">
        <f t="shared" ref="L4:L22" si="8">$F4*(1+$K$1)^(44-$A4)</f>
        <v>7460.5876239434438</v>
      </c>
      <c r="P4" s="1">
        <f t="shared" ref="P4:P52" si="9">$B4*0.04</f>
        <v>2084.8000000000002</v>
      </c>
      <c r="Q4" s="1">
        <f t="shared" si="3"/>
        <v>0</v>
      </c>
      <c r="R4" s="1">
        <f t="shared" si="4"/>
        <v>0</v>
      </c>
      <c r="S4" s="130"/>
      <c r="T4" s="1">
        <f t="shared" ref="T4:T42" si="10">$P4*(1+$U$1)^(64-$A4)</f>
        <v>30761.311992839906</v>
      </c>
      <c r="U4" s="1">
        <f t="shared" ref="U4:U32" si="11">$P4*(1+$U$1)^(54-$A4)</f>
        <v>15149.173691988764</v>
      </c>
      <c r="V4" s="1">
        <f t="shared" ref="V4:V22" si="12">$P4*(1+$U$1)^(44-$A4)</f>
        <v>7460.5876239434438</v>
      </c>
      <c r="X4" s="1">
        <f t="shared" ref="X4:X52" si="13">$B4*0.08</f>
        <v>4169.6000000000004</v>
      </c>
      <c r="Y4" s="1"/>
      <c r="Z4" s="1"/>
      <c r="AA4" s="128"/>
      <c r="AB4" s="1">
        <f t="shared" ref="AB4:AC42" si="14">X4*(1+$U$1)^(64-$A4)</f>
        <v>61522.623985679813</v>
      </c>
    </row>
    <row r="5" spans="1:29">
      <c r="A5" s="103">
        <v>27</v>
      </c>
      <c r="B5" s="1">
        <f t="shared" ref="B5:D52" si="15">B4*1.0424</f>
        <v>54329.887999999999</v>
      </c>
      <c r="C5" s="1">
        <f t="shared" si="0"/>
        <v>35866.977694444227</v>
      </c>
      <c r="D5" s="1">
        <f t="shared" si="1"/>
        <v>23678.312919285974</v>
      </c>
      <c r="E5" s="102">
        <v>3</v>
      </c>
      <c r="F5" s="1">
        <f t="shared" si="5"/>
        <v>2173.1955200000002</v>
      </c>
      <c r="G5" s="1">
        <f t="shared" si="2"/>
        <v>1434.6791077777691</v>
      </c>
      <c r="H5" s="1">
        <f t="shared" si="2"/>
        <v>947.13251677143899</v>
      </c>
      <c r="I5" s="130"/>
      <c r="J5" s="1">
        <f t="shared" si="6"/>
        <v>29872.919341658591</v>
      </c>
      <c r="K5" s="1">
        <f t="shared" si="7"/>
        <v>14711.662620205971</v>
      </c>
      <c r="L5" s="1">
        <f t="shared" si="8"/>
        <v>7245.124407675281</v>
      </c>
      <c r="P5" s="1">
        <f t="shared" si="9"/>
        <v>2173.1955200000002</v>
      </c>
      <c r="Q5" s="1">
        <f t="shared" si="3"/>
        <v>0</v>
      </c>
      <c r="R5" s="1">
        <f t="shared" si="4"/>
        <v>0</v>
      </c>
      <c r="S5" s="130"/>
      <c r="T5" s="1">
        <f t="shared" si="10"/>
        <v>29872.919341658591</v>
      </c>
      <c r="U5" s="1">
        <f t="shared" si="11"/>
        <v>14711.662620205971</v>
      </c>
      <c r="V5" s="1">
        <f t="shared" si="12"/>
        <v>7245.124407675281</v>
      </c>
      <c r="X5" s="1">
        <f t="shared" si="13"/>
        <v>4346.3910400000004</v>
      </c>
      <c r="Y5" s="1"/>
      <c r="Z5" s="1"/>
      <c r="AA5" s="128"/>
      <c r="AB5" s="1">
        <f t="shared" si="14"/>
        <v>59745.838683317183</v>
      </c>
    </row>
    <row r="6" spans="1:29">
      <c r="A6" s="103">
        <v>28</v>
      </c>
      <c r="B6" s="1">
        <f t="shared" si="15"/>
        <v>56633.475251199998</v>
      </c>
      <c r="C6" s="1">
        <f t="shared" si="0"/>
        <v>37387.737548688659</v>
      </c>
      <c r="D6" s="1">
        <f t="shared" si="1"/>
        <v>24682.273387063698</v>
      </c>
      <c r="E6" s="102">
        <v>4</v>
      </c>
      <c r="F6" s="1">
        <f t="shared" si="5"/>
        <v>2265.3390100480001</v>
      </c>
      <c r="G6" s="1">
        <f t="shared" si="2"/>
        <v>1495.5095019475464</v>
      </c>
      <c r="H6" s="1">
        <f t="shared" si="2"/>
        <v>987.29093548254798</v>
      </c>
      <c r="I6" s="130"/>
      <c r="J6" s="1">
        <f t="shared" si="6"/>
        <v>29010.183642393247</v>
      </c>
      <c r="K6" s="1">
        <f t="shared" si="7"/>
        <v>14286.786952955752</v>
      </c>
      <c r="L6" s="1">
        <f t="shared" si="8"/>
        <v>7035.8838108447117</v>
      </c>
      <c r="P6" s="1">
        <f t="shared" si="9"/>
        <v>2265.3390100480001</v>
      </c>
      <c r="Q6" s="1">
        <f t="shared" si="3"/>
        <v>0</v>
      </c>
      <c r="R6" s="1">
        <f t="shared" si="4"/>
        <v>0</v>
      </c>
      <c r="S6" s="130"/>
      <c r="T6" s="1">
        <f t="shared" si="10"/>
        <v>29010.183642393247</v>
      </c>
      <c r="U6" s="1">
        <f t="shared" si="11"/>
        <v>14286.786952955752</v>
      </c>
      <c r="V6" s="1">
        <f t="shared" si="12"/>
        <v>7035.8838108447117</v>
      </c>
      <c r="X6" s="1">
        <f t="shared" si="13"/>
        <v>4530.6780200960002</v>
      </c>
      <c r="Y6" s="1"/>
      <c r="Z6" s="1"/>
      <c r="AA6" s="128"/>
      <c r="AB6" s="1">
        <f t="shared" si="14"/>
        <v>58020.367284786495</v>
      </c>
    </row>
    <row r="7" spans="1:29">
      <c r="A7" s="103">
        <v>29</v>
      </c>
      <c r="B7" s="1">
        <f t="shared" si="15"/>
        <v>59034.734601850876</v>
      </c>
      <c r="C7" s="1">
        <f t="shared" si="0"/>
        <v>38972.977620753059</v>
      </c>
      <c r="D7" s="1">
        <f t="shared" si="1"/>
        <v>25728.801778675199</v>
      </c>
      <c r="E7" s="102">
        <v>5</v>
      </c>
      <c r="F7" s="1">
        <f t="shared" si="5"/>
        <v>2361.3893840740352</v>
      </c>
      <c r="G7" s="1">
        <f t="shared" si="2"/>
        <v>1558.9191048301225</v>
      </c>
      <c r="H7" s="1">
        <f t="shared" si="2"/>
        <v>1029.152071147008</v>
      </c>
      <c r="I7" s="130"/>
      <c r="J7" s="1">
        <f t="shared" si="6"/>
        <v>28172.363917300834</v>
      </c>
      <c r="K7" s="1">
        <f t="shared" si="7"/>
        <v>13874.181777306761</v>
      </c>
      <c r="L7" s="1">
        <f t="shared" si="8"/>
        <v>6832.686122996578</v>
      </c>
      <c r="P7" s="1">
        <f t="shared" si="9"/>
        <v>2361.3893840740352</v>
      </c>
      <c r="Q7" s="1">
        <f t="shared" si="3"/>
        <v>0</v>
      </c>
      <c r="R7" s="1">
        <f t="shared" si="4"/>
        <v>0</v>
      </c>
      <c r="S7" s="130"/>
      <c r="T7" s="1">
        <f t="shared" si="10"/>
        <v>28172.363917300834</v>
      </c>
      <c r="U7" s="1">
        <f t="shared" si="11"/>
        <v>13874.181777306761</v>
      </c>
      <c r="V7" s="1">
        <f t="shared" si="12"/>
        <v>6832.686122996578</v>
      </c>
      <c r="X7" s="1">
        <f t="shared" si="13"/>
        <v>4722.7787681480704</v>
      </c>
      <c r="Y7" s="1"/>
      <c r="Z7" s="1"/>
      <c r="AA7" s="128"/>
      <c r="AB7" s="1">
        <f t="shared" si="14"/>
        <v>56344.727834601668</v>
      </c>
    </row>
    <row r="8" spans="1:29">
      <c r="A8" s="103">
        <v>30</v>
      </c>
      <c r="B8" s="1">
        <f t="shared" si="15"/>
        <v>61537.807348969356</v>
      </c>
      <c r="C8" s="1">
        <f t="shared" si="0"/>
        <v>40625.431871872992</v>
      </c>
      <c r="D8" s="1">
        <f t="shared" si="1"/>
        <v>26819.702974091026</v>
      </c>
      <c r="E8" s="102">
        <v>6</v>
      </c>
      <c r="F8" s="1">
        <f t="shared" si="5"/>
        <v>2461.5122939587741</v>
      </c>
      <c r="G8" s="1">
        <f t="shared" si="2"/>
        <v>1625.0172748749196</v>
      </c>
      <c r="H8" s="1">
        <f t="shared" si="2"/>
        <v>1072.788118963641</v>
      </c>
      <c r="I8" s="130"/>
      <c r="J8" s="1">
        <f t="shared" si="6"/>
        <v>27358.740588219109</v>
      </c>
      <c r="K8" s="1">
        <f t="shared" si="7"/>
        <v>13473.492719083815</v>
      </c>
      <c r="L8" s="1">
        <f t="shared" si="8"/>
        <v>6635.3568237484951</v>
      </c>
      <c r="P8" s="1">
        <f t="shared" si="9"/>
        <v>2461.5122939587741</v>
      </c>
      <c r="Q8" s="1">
        <f t="shared" si="3"/>
        <v>0</v>
      </c>
      <c r="R8" s="1">
        <f t="shared" si="4"/>
        <v>0</v>
      </c>
      <c r="S8" s="130"/>
      <c r="T8" s="1">
        <f t="shared" si="10"/>
        <v>27358.740588219109</v>
      </c>
      <c r="U8" s="1">
        <f t="shared" si="11"/>
        <v>13473.492719083815</v>
      </c>
      <c r="V8" s="1">
        <f t="shared" si="12"/>
        <v>6635.3568237484951</v>
      </c>
      <c r="X8" s="1">
        <f t="shared" si="13"/>
        <v>4923.0245879175482</v>
      </c>
      <c r="Y8" s="1"/>
      <c r="Z8" s="1"/>
      <c r="AA8" s="128"/>
      <c r="AB8" s="1">
        <f t="shared" si="14"/>
        <v>54717.481176438218</v>
      </c>
    </row>
    <row r="9" spans="1:29">
      <c r="A9" s="103">
        <v>31</v>
      </c>
      <c r="B9" s="1">
        <f t="shared" si="15"/>
        <v>64147.010380565654</v>
      </c>
      <c r="C9" s="1">
        <f t="shared" si="0"/>
        <v>42347.950183240406</v>
      </c>
      <c r="D9" s="1">
        <f t="shared" si="1"/>
        <v>27956.858380192483</v>
      </c>
      <c r="E9" s="102">
        <v>7</v>
      </c>
      <c r="F9" s="1">
        <f t="shared" si="5"/>
        <v>2565.8804152226262</v>
      </c>
      <c r="G9" s="1">
        <f t="shared" si="2"/>
        <v>1693.9180073296163</v>
      </c>
      <c r="H9" s="1">
        <f t="shared" si="2"/>
        <v>1118.2743352076993</v>
      </c>
      <c r="I9" s="130"/>
      <c r="J9" s="1">
        <f t="shared" si="6"/>
        <v>26568.61485854258</v>
      </c>
      <c r="K9" s="1">
        <f t="shared" si="7"/>
        <v>13084.375638506586</v>
      </c>
      <c r="L9" s="1">
        <f t="shared" si="8"/>
        <v>6443.7264329005338</v>
      </c>
      <c r="P9" s="1">
        <f t="shared" si="9"/>
        <v>2565.8804152226262</v>
      </c>
      <c r="Q9" s="1">
        <f t="shared" si="3"/>
        <v>0</v>
      </c>
      <c r="R9" s="1">
        <f t="shared" si="4"/>
        <v>0</v>
      </c>
      <c r="S9" s="130"/>
      <c r="T9" s="1">
        <f t="shared" si="10"/>
        <v>26568.61485854258</v>
      </c>
      <c r="U9" s="1">
        <f t="shared" si="11"/>
        <v>13084.375638506586</v>
      </c>
      <c r="V9" s="1">
        <f t="shared" si="12"/>
        <v>6443.7264329005338</v>
      </c>
      <c r="X9" s="1">
        <f t="shared" si="13"/>
        <v>5131.7608304452524</v>
      </c>
      <c r="Y9" s="1"/>
      <c r="Z9" s="1"/>
      <c r="AA9" s="128"/>
      <c r="AB9" s="1">
        <f t="shared" si="14"/>
        <v>53137.22971708516</v>
      </c>
    </row>
    <row r="10" spans="1:29">
      <c r="A10" s="103">
        <v>32</v>
      </c>
      <c r="B10" s="1">
        <f t="shared" si="15"/>
        <v>66866.843620701635</v>
      </c>
      <c r="C10" s="1">
        <f t="shared" si="0"/>
        <v>44143.503271009802</v>
      </c>
      <c r="D10" s="1">
        <f t="shared" si="1"/>
        <v>29142.229175512643</v>
      </c>
      <c r="E10" s="102">
        <v>8</v>
      </c>
      <c r="F10" s="1">
        <f t="shared" si="5"/>
        <v>2674.6737448280655</v>
      </c>
      <c r="G10" s="1">
        <f t="shared" si="2"/>
        <v>1765.7401308403921</v>
      </c>
      <c r="H10" s="1">
        <f t="shared" si="2"/>
        <v>1165.6891670205057</v>
      </c>
      <c r="I10" s="130"/>
      <c r="J10" s="1">
        <f t="shared" si="6"/>
        <v>25801.308113047129</v>
      </c>
      <c r="K10" s="1">
        <f t="shared" si="7"/>
        <v>12706.496334618285</v>
      </c>
      <c r="L10" s="1">
        <f t="shared" si="8"/>
        <v>6257.6303648737794</v>
      </c>
      <c r="P10" s="1">
        <f t="shared" si="9"/>
        <v>2674.6737448280655</v>
      </c>
      <c r="Q10" s="1">
        <f t="shared" si="3"/>
        <v>0</v>
      </c>
      <c r="R10" s="1">
        <f t="shared" si="4"/>
        <v>0</v>
      </c>
      <c r="S10" s="130"/>
      <c r="T10" s="1">
        <f t="shared" si="10"/>
        <v>25801.308113047129</v>
      </c>
      <c r="U10" s="1">
        <f t="shared" si="11"/>
        <v>12706.496334618285</v>
      </c>
      <c r="V10" s="1">
        <f t="shared" si="12"/>
        <v>6257.6303648737794</v>
      </c>
      <c r="X10" s="1">
        <f t="shared" si="13"/>
        <v>5349.3474896561311</v>
      </c>
      <c r="Y10" s="1"/>
      <c r="Z10" s="1"/>
      <c r="AA10" s="128"/>
      <c r="AB10" s="1">
        <f t="shared" si="14"/>
        <v>51602.616226094258</v>
      </c>
    </row>
    <row r="11" spans="1:29">
      <c r="A11" s="103">
        <v>33</v>
      </c>
      <c r="B11" s="1">
        <f t="shared" si="15"/>
        <v>69701.997790219379</v>
      </c>
      <c r="C11" s="1">
        <f t="shared" si="0"/>
        <v>46015.187809700619</v>
      </c>
      <c r="D11" s="1">
        <f t="shared" si="1"/>
        <v>30377.859692554379</v>
      </c>
      <c r="E11" s="102">
        <v>9</v>
      </c>
      <c r="F11" s="1">
        <f t="shared" si="5"/>
        <v>2788.0799116087751</v>
      </c>
      <c r="G11" s="1">
        <f t="shared" si="2"/>
        <v>1840.6075123880248</v>
      </c>
      <c r="H11" s="1">
        <f t="shared" si="2"/>
        <v>1215.1143877021752</v>
      </c>
      <c r="I11" s="130"/>
      <c r="J11" s="1">
        <f t="shared" si="6"/>
        <v>25056.161335047815</v>
      </c>
      <c r="K11" s="1">
        <f t="shared" si="7"/>
        <v>12339.530258250512</v>
      </c>
      <c r="L11" s="1">
        <f t="shared" si="8"/>
        <v>6076.908787352736</v>
      </c>
      <c r="P11" s="1">
        <f t="shared" si="9"/>
        <v>2788.0799116087751</v>
      </c>
      <c r="Q11" s="1">
        <f t="shared" si="3"/>
        <v>0</v>
      </c>
      <c r="R11" s="1">
        <f>N11*0.04</f>
        <v>0</v>
      </c>
      <c r="S11" s="130"/>
      <c r="T11" s="1">
        <f t="shared" si="10"/>
        <v>25056.161335047815</v>
      </c>
      <c r="U11" s="1">
        <f t="shared" si="11"/>
        <v>12339.530258250512</v>
      </c>
      <c r="V11" s="1">
        <f t="shared" si="12"/>
        <v>6076.908787352736</v>
      </c>
      <c r="X11" s="1">
        <f t="shared" si="13"/>
        <v>5576.1598232175502</v>
      </c>
      <c r="Y11" s="1"/>
      <c r="Z11" s="1"/>
      <c r="AA11" s="128"/>
      <c r="AB11" s="1">
        <f t="shared" si="14"/>
        <v>50112.322670095629</v>
      </c>
    </row>
    <row r="12" spans="1:29">
      <c r="A12" s="103">
        <v>34</v>
      </c>
      <c r="B12" s="1">
        <f t="shared" si="15"/>
        <v>72657.362496524685</v>
      </c>
      <c r="C12" s="1">
        <f>C13/1.0424</f>
        <v>47966.231772831925</v>
      </c>
      <c r="D12" s="1">
        <f t="shared" si="1"/>
        <v>31665.880943518685</v>
      </c>
      <c r="E12" s="102">
        <v>10</v>
      </c>
      <c r="F12" s="1">
        <f t="shared" si="5"/>
        <v>2906.2944998609873</v>
      </c>
      <c r="G12" s="1">
        <f t="shared" si="2"/>
        <v>1918.649270913277</v>
      </c>
      <c r="H12" s="1">
        <f t="shared" si="2"/>
        <v>1266.6352377407475</v>
      </c>
      <c r="I12" s="130"/>
      <c r="J12" s="1">
        <f t="shared" si="6"/>
        <v>24332.534540389275</v>
      </c>
      <c r="K12" s="1">
        <f t="shared" si="7"/>
        <v>11983.162233277752</v>
      </c>
      <c r="L12" s="1">
        <f t="shared" si="8"/>
        <v>5901.4064840101491</v>
      </c>
      <c r="P12" s="1">
        <f t="shared" si="9"/>
        <v>2906.2944998609873</v>
      </c>
      <c r="Q12" s="1">
        <f t="shared" si="3"/>
        <v>0</v>
      </c>
      <c r="R12" s="1">
        <f>N12*0.04</f>
        <v>0</v>
      </c>
      <c r="S12" s="130"/>
      <c r="T12" s="1">
        <f t="shared" si="10"/>
        <v>24332.534540389275</v>
      </c>
      <c r="U12" s="1">
        <f t="shared" si="11"/>
        <v>11983.162233277752</v>
      </c>
      <c r="V12" s="1">
        <f t="shared" si="12"/>
        <v>5901.4064840101491</v>
      </c>
      <c r="X12" s="1">
        <f t="shared" si="13"/>
        <v>5812.5889997219747</v>
      </c>
      <c r="Y12" s="1"/>
      <c r="Z12" s="1"/>
      <c r="AA12" s="128"/>
      <c r="AB12" s="1">
        <f t="shared" si="14"/>
        <v>48665.06908077855</v>
      </c>
    </row>
    <row r="13" spans="1:29">
      <c r="A13" s="103">
        <v>35</v>
      </c>
      <c r="B13" s="1">
        <f t="shared" si="15"/>
        <v>75738.034666377338</v>
      </c>
      <c r="C13" s="1">
        <v>50000</v>
      </c>
      <c r="D13" s="1">
        <f t="shared" si="1"/>
        <v>33008.514295523877</v>
      </c>
      <c r="E13" s="102">
        <v>11</v>
      </c>
      <c r="F13" s="1">
        <f>B13*0.05</f>
        <v>3786.9017333188672</v>
      </c>
      <c r="G13" s="1">
        <f t="shared" ref="G13:H22" si="16">C13*0.05</f>
        <v>2500</v>
      </c>
      <c r="H13" s="1">
        <f t="shared" si="16"/>
        <v>1650.4257147761939</v>
      </c>
      <c r="I13" s="131">
        <v>0.05</v>
      </c>
      <c r="J13" s="1">
        <f t="shared" si="6"/>
        <v>29537.25778472819</v>
      </c>
      <c r="K13" s="1">
        <f t="shared" si="7"/>
        <v>14546.357732402561</v>
      </c>
      <c r="L13" s="1">
        <f t="shared" si="8"/>
        <v>7163.7159014954595</v>
      </c>
      <c r="P13" s="1">
        <f t="shared" si="9"/>
        <v>3029.5213866550935</v>
      </c>
      <c r="Q13" s="1">
        <f t="shared" ref="Q13:Q22" si="17">M13*0.05</f>
        <v>0</v>
      </c>
      <c r="R13" s="1">
        <f>N13*0.05</f>
        <v>0</v>
      </c>
      <c r="S13" s="130">
        <v>0.04</v>
      </c>
      <c r="T13" s="1">
        <f t="shared" si="10"/>
        <v>23629.806227782548</v>
      </c>
      <c r="U13" s="1">
        <f t="shared" si="11"/>
        <v>11637.086185922048</v>
      </c>
      <c r="V13" s="1">
        <f t="shared" si="12"/>
        <v>5730.9727211963673</v>
      </c>
      <c r="X13" s="1">
        <f t="shared" si="13"/>
        <v>6059.0427733101869</v>
      </c>
      <c r="Y13" s="1"/>
      <c r="Z13" s="1"/>
      <c r="AA13" s="128">
        <v>0.08</v>
      </c>
      <c r="AB13" s="1">
        <f t="shared" si="14"/>
        <v>47259.612455565097</v>
      </c>
    </row>
    <row r="14" spans="1:29">
      <c r="A14" s="103">
        <v>36</v>
      </c>
      <c r="B14" s="1">
        <f t="shared" si="15"/>
        <v>78949.327336231741</v>
      </c>
      <c r="C14" s="1">
        <f t="shared" si="15"/>
        <v>52120</v>
      </c>
      <c r="D14" s="1">
        <f t="shared" si="1"/>
        <v>34408.075301654091</v>
      </c>
      <c r="E14" s="102">
        <v>12</v>
      </c>
      <c r="F14" s="1">
        <f t="shared" ref="F14:F22" si="18">B14*0.05</f>
        <v>3947.4663668115872</v>
      </c>
      <c r="G14" s="1">
        <f t="shared" si="16"/>
        <v>2606</v>
      </c>
      <c r="H14" s="1">
        <f t="shared" si="16"/>
        <v>1720.4037650827047</v>
      </c>
      <c r="I14" s="131"/>
      <c r="J14" s="1">
        <f t="shared" si="6"/>
        <v>28684.216056270416</v>
      </c>
      <c r="K14" s="1">
        <f t="shared" si="7"/>
        <v>14126.256102344356</v>
      </c>
      <c r="L14" s="1">
        <f t="shared" si="8"/>
        <v>6956.826398098442</v>
      </c>
      <c r="P14" s="1">
        <f t="shared" si="9"/>
        <v>3157.9730934492695</v>
      </c>
      <c r="Q14" s="1">
        <f t="shared" si="17"/>
        <v>0</v>
      </c>
      <c r="R14" s="1">
        <f>N14*0.05</f>
        <v>0</v>
      </c>
      <c r="S14" s="130"/>
      <c r="T14" s="1">
        <f t="shared" si="10"/>
        <v>22947.372845016329</v>
      </c>
      <c r="U14" s="1">
        <f t="shared" si="11"/>
        <v>11301.004881875484</v>
      </c>
      <c r="V14" s="1">
        <f t="shared" si="12"/>
        <v>5565.4611184787536</v>
      </c>
      <c r="X14" s="1">
        <f t="shared" si="13"/>
        <v>6315.9461868985391</v>
      </c>
      <c r="Y14" s="1"/>
      <c r="Z14" s="1"/>
      <c r="AA14" s="128"/>
      <c r="AB14" s="1">
        <f t="shared" si="14"/>
        <v>45894.745690032658</v>
      </c>
    </row>
    <row r="15" spans="1:29">
      <c r="A15" s="103">
        <v>37</v>
      </c>
      <c r="B15" s="1">
        <f t="shared" si="15"/>
        <v>82296.778815287966</v>
      </c>
      <c r="C15" s="1">
        <f t="shared" si="15"/>
        <v>54329.887999999999</v>
      </c>
      <c r="D15" s="1">
        <f t="shared" si="1"/>
        <v>35866.977694444227</v>
      </c>
      <c r="E15" s="102">
        <v>13</v>
      </c>
      <c r="F15" s="1">
        <f t="shared" si="18"/>
        <v>4114.8389407643981</v>
      </c>
      <c r="G15" s="1">
        <f t="shared" si="16"/>
        <v>2716.4944</v>
      </c>
      <c r="H15" s="1">
        <f t="shared" si="16"/>
        <v>1793.3488847222116</v>
      </c>
      <c r="I15" s="131"/>
      <c r="J15" s="1">
        <f t="shared" si="6"/>
        <v>27855.810338230182</v>
      </c>
      <c r="K15" s="1">
        <f t="shared" si="7"/>
        <v>13718.287088768175</v>
      </c>
      <c r="L15" s="1">
        <f t="shared" si="8"/>
        <v>6755.9119036499114</v>
      </c>
      <c r="P15" s="1">
        <f t="shared" si="9"/>
        <v>3291.8711526115185</v>
      </c>
      <c r="Q15" s="1">
        <f t="shared" si="17"/>
        <v>0</v>
      </c>
      <c r="R15" s="1">
        <f>N15*0.05</f>
        <v>0</v>
      </c>
      <c r="S15" s="130"/>
      <c r="T15" s="1">
        <f t="shared" si="10"/>
        <v>22284.648270584144</v>
      </c>
      <c r="U15" s="1">
        <f t="shared" si="11"/>
        <v>10974.62967101454</v>
      </c>
      <c r="V15" s="1">
        <f t="shared" si="12"/>
        <v>5404.729522919929</v>
      </c>
      <c r="X15" s="1">
        <f t="shared" si="13"/>
        <v>6583.742305223037</v>
      </c>
      <c r="Y15" s="1"/>
      <c r="Z15" s="1"/>
      <c r="AA15" s="128"/>
      <c r="AB15" s="1">
        <f t="shared" si="14"/>
        <v>44569.296541168289</v>
      </c>
    </row>
    <row r="16" spans="1:29">
      <c r="A16" s="103">
        <v>38</v>
      </c>
      <c r="B16" s="1">
        <f t="shared" si="15"/>
        <v>85786.162237056182</v>
      </c>
      <c r="C16" s="1">
        <f t="shared" si="15"/>
        <v>56633.475251199998</v>
      </c>
      <c r="D16" s="1">
        <f t="shared" si="1"/>
        <v>37387.737548688659</v>
      </c>
      <c r="E16" s="102">
        <v>14</v>
      </c>
      <c r="F16" s="1">
        <f t="shared" si="18"/>
        <v>4289.3081118528089</v>
      </c>
      <c r="G16" s="1">
        <f t="shared" si="16"/>
        <v>2831.6737625599999</v>
      </c>
      <c r="H16" s="1">
        <f t="shared" si="16"/>
        <v>1869.386877434433</v>
      </c>
      <c r="I16" s="131"/>
      <c r="J16" s="1">
        <f t="shared" si="6"/>
        <v>27051.329137852754</v>
      </c>
      <c r="K16" s="1">
        <f t="shared" si="7"/>
        <v>13322.100299358997</v>
      </c>
      <c r="L16" s="1">
        <f t="shared" si="8"/>
        <v>6560.7998587336215</v>
      </c>
      <c r="P16" s="1">
        <f t="shared" si="9"/>
        <v>3431.4464894822472</v>
      </c>
      <c r="Q16" s="1">
        <f t="shared" si="17"/>
        <v>0</v>
      </c>
      <c r="R16" s="1">
        <f>N16*0.05</f>
        <v>0</v>
      </c>
      <c r="S16" s="130"/>
      <c r="T16" s="1">
        <f t="shared" si="10"/>
        <v>21641.063310282203</v>
      </c>
      <c r="U16" s="1">
        <f t="shared" si="11"/>
        <v>10657.680239487197</v>
      </c>
      <c r="V16" s="1">
        <f t="shared" si="12"/>
        <v>5248.6398869868972</v>
      </c>
      <c r="X16" s="1">
        <f t="shared" si="13"/>
        <v>6862.8929789644944</v>
      </c>
      <c r="Y16" s="1"/>
      <c r="Z16" s="1"/>
      <c r="AA16" s="128"/>
      <c r="AB16" s="1">
        <f t="shared" si="14"/>
        <v>43282.126620564406</v>
      </c>
    </row>
    <row r="17" spans="1:29">
      <c r="A17" s="103">
        <v>39</v>
      </c>
      <c r="B17" s="1">
        <f t="shared" si="15"/>
        <v>89423.495515907358</v>
      </c>
      <c r="C17" s="1">
        <f t="shared" si="15"/>
        <v>59034.734601850876</v>
      </c>
      <c r="D17" s="1">
        <f t="shared" si="1"/>
        <v>38972.977620753059</v>
      </c>
      <c r="E17" s="102">
        <v>15</v>
      </c>
      <c r="F17" s="1">
        <f t="shared" si="18"/>
        <v>4471.1747757953681</v>
      </c>
      <c r="G17" s="1">
        <f t="shared" si="16"/>
        <v>2951.7367300925439</v>
      </c>
      <c r="H17" s="1">
        <f t="shared" si="16"/>
        <v>1948.6488810376532</v>
      </c>
      <c r="I17" s="131"/>
      <c r="J17" s="1">
        <f t="shared" si="6"/>
        <v>26270.081510432006</v>
      </c>
      <c r="K17" s="1">
        <f t="shared" si="7"/>
        <v>12937.355461199755</v>
      </c>
      <c r="L17" s="1">
        <f t="shared" si="8"/>
        <v>6371.3226874826987</v>
      </c>
      <c r="P17" s="1">
        <f t="shared" si="9"/>
        <v>3576.9398206362944</v>
      </c>
      <c r="Q17" s="1">
        <f t="shared" si="17"/>
        <v>0</v>
      </c>
      <c r="R17" s="1">
        <f>N17*0.05</f>
        <v>0</v>
      </c>
      <c r="S17" s="130"/>
      <c r="T17" s="1">
        <f t="shared" si="10"/>
        <v>21016.065208345604</v>
      </c>
      <c r="U17" s="1">
        <f t="shared" si="11"/>
        <v>10349.884368959805</v>
      </c>
      <c r="V17" s="1">
        <f t="shared" si="12"/>
        <v>5097.0581499861592</v>
      </c>
      <c r="X17" s="1">
        <f t="shared" si="13"/>
        <v>7153.8796412725887</v>
      </c>
      <c r="Y17" s="1"/>
      <c r="Z17" s="1"/>
      <c r="AA17" s="128"/>
      <c r="AB17" s="1">
        <f t="shared" si="14"/>
        <v>42032.130416691209</v>
      </c>
    </row>
    <row r="18" spans="1:29">
      <c r="A18" s="103">
        <v>40</v>
      </c>
      <c r="B18" s="1">
        <f t="shared" si="15"/>
        <v>93215.051725781828</v>
      </c>
      <c r="C18" s="1">
        <f t="shared" si="15"/>
        <v>61537.807348969356</v>
      </c>
      <c r="D18" s="1">
        <f t="shared" si="1"/>
        <v>40625.431871872992</v>
      </c>
      <c r="E18" s="102">
        <v>16</v>
      </c>
      <c r="F18" s="1">
        <f t="shared" si="18"/>
        <v>4660.7525862890916</v>
      </c>
      <c r="G18" s="1">
        <f t="shared" si="16"/>
        <v>3076.8903674484682</v>
      </c>
      <c r="H18" s="1">
        <f t="shared" si="16"/>
        <v>2031.2715935936496</v>
      </c>
      <c r="I18" s="131"/>
      <c r="J18" s="1">
        <f t="shared" si="6"/>
        <v>25511.396465878821</v>
      </c>
      <c r="K18" s="1">
        <f t="shared" si="7"/>
        <v>12563.722128521174</v>
      </c>
      <c r="L18" s="1">
        <f t="shared" si="8"/>
        <v>6187.3176536537776</v>
      </c>
      <c r="P18" s="1">
        <f t="shared" si="9"/>
        <v>3728.602069031273</v>
      </c>
      <c r="Q18" s="1">
        <f t="shared" si="17"/>
        <v>0</v>
      </c>
      <c r="R18" s="1">
        <f t="shared" ref="R18:R20" si="19">N18*0.05</f>
        <v>0</v>
      </c>
      <c r="S18" s="130"/>
      <c r="T18" s="1">
        <f t="shared" si="10"/>
        <v>20409.117172703056</v>
      </c>
      <c r="U18" s="1">
        <f t="shared" si="11"/>
        <v>10050.977702816939</v>
      </c>
      <c r="V18" s="1">
        <f t="shared" si="12"/>
        <v>4949.8541229230223</v>
      </c>
      <c r="X18" s="1">
        <f t="shared" si="13"/>
        <v>7457.204138062546</v>
      </c>
      <c r="Y18" s="1"/>
      <c r="Z18" s="1"/>
      <c r="AA18" s="128"/>
      <c r="AB18" s="1">
        <f t="shared" si="14"/>
        <v>40818.234345406112</v>
      </c>
    </row>
    <row r="19" spans="1:29">
      <c r="A19" s="103">
        <v>41</v>
      </c>
      <c r="B19" s="1">
        <f t="shared" si="15"/>
        <v>97167.369918954981</v>
      </c>
      <c r="C19" s="1">
        <f t="shared" si="15"/>
        <v>64147.010380565654</v>
      </c>
      <c r="D19" s="1">
        <f t="shared" si="1"/>
        <v>42347.950183240406</v>
      </c>
      <c r="E19" s="102">
        <v>17</v>
      </c>
      <c r="F19" s="1">
        <f t="shared" si="18"/>
        <v>4858.3684959477496</v>
      </c>
      <c r="G19" s="1">
        <f t="shared" si="16"/>
        <v>3207.3505190282831</v>
      </c>
      <c r="H19" s="1">
        <f t="shared" si="16"/>
        <v>2117.3975091620205</v>
      </c>
      <c r="I19" s="131"/>
      <c r="J19" s="1">
        <f t="shared" si="6"/>
        <v>24774.622392427878</v>
      </c>
      <c r="K19" s="1">
        <f t="shared" si="7"/>
        <v>12200.879398891817</v>
      </c>
      <c r="L19" s="1">
        <f t="shared" si="8"/>
        <v>6008.6267208577401</v>
      </c>
      <c r="P19" s="1">
        <f t="shared" si="9"/>
        <v>3886.6947967581991</v>
      </c>
      <c r="Q19" s="1">
        <f t="shared" si="17"/>
        <v>0</v>
      </c>
      <c r="R19" s="1">
        <f t="shared" si="19"/>
        <v>0</v>
      </c>
      <c r="S19" s="130"/>
      <c r="T19" s="1">
        <f t="shared" si="10"/>
        <v>19819.697913942298</v>
      </c>
      <c r="U19" s="1">
        <f t="shared" si="11"/>
        <v>9760.7035191134528</v>
      </c>
      <c r="V19" s="1">
        <f t="shared" si="12"/>
        <v>4806.9013766861917</v>
      </c>
      <c r="X19" s="1">
        <f t="shared" si="13"/>
        <v>7773.3895935163982</v>
      </c>
      <c r="Y19" s="1"/>
      <c r="Z19" s="1"/>
      <c r="AA19" s="128"/>
      <c r="AB19" s="1">
        <f t="shared" si="14"/>
        <v>39639.395827884597</v>
      </c>
    </row>
    <row r="20" spans="1:29">
      <c r="A20" s="103">
        <v>42</v>
      </c>
      <c r="B20" s="1">
        <f t="shared" si="15"/>
        <v>101287.26640351868</v>
      </c>
      <c r="C20" s="1">
        <f t="shared" si="15"/>
        <v>66866.843620701635</v>
      </c>
      <c r="D20" s="1">
        <f t="shared" si="1"/>
        <v>44143.503271009802</v>
      </c>
      <c r="E20" s="102">
        <v>18</v>
      </c>
      <c r="F20" s="1">
        <f t="shared" si="18"/>
        <v>5064.3633201759339</v>
      </c>
      <c r="G20" s="1">
        <f t="shared" si="16"/>
        <v>3343.3421810350819</v>
      </c>
      <c r="H20" s="1">
        <f t="shared" si="16"/>
        <v>2207.1751635504902</v>
      </c>
      <c r="I20" s="131"/>
      <c r="J20" s="1">
        <f t="shared" si="6"/>
        <v>24059.126496987908</v>
      </c>
      <c r="K20" s="1">
        <f t="shared" si="7"/>
        <v>11848.515637604647</v>
      </c>
      <c r="L20" s="1">
        <f t="shared" si="8"/>
        <v>5835.0964168270066</v>
      </c>
      <c r="P20" s="1">
        <f t="shared" si="9"/>
        <v>4051.490656140747</v>
      </c>
      <c r="Q20" s="1">
        <f t="shared" si="17"/>
        <v>0</v>
      </c>
      <c r="R20" s="1">
        <f t="shared" si="19"/>
        <v>0</v>
      </c>
      <c r="S20" s="130"/>
      <c r="T20" s="1">
        <f t="shared" si="10"/>
        <v>19247.301197590328</v>
      </c>
      <c r="U20" s="1">
        <f t="shared" si="11"/>
        <v>9478.8125100837169</v>
      </c>
      <c r="V20" s="1">
        <f t="shared" si="12"/>
        <v>4668.0771334616056</v>
      </c>
      <c r="X20" s="1">
        <f t="shared" si="13"/>
        <v>8102.981312281494</v>
      </c>
      <c r="Y20" s="1"/>
      <c r="Z20" s="1"/>
      <c r="AA20" s="128"/>
      <c r="AB20" s="1">
        <f t="shared" si="14"/>
        <v>38494.602395180656</v>
      </c>
    </row>
    <row r="21" spans="1:29">
      <c r="A21" s="103">
        <v>43</v>
      </c>
      <c r="B21" s="1">
        <f t="shared" si="15"/>
        <v>105581.84649902787</v>
      </c>
      <c r="C21" s="1">
        <f t="shared" si="15"/>
        <v>69701.997790219379</v>
      </c>
      <c r="D21" s="1">
        <f t="shared" si="1"/>
        <v>46015.187809700619</v>
      </c>
      <c r="E21" s="102">
        <v>19</v>
      </c>
      <c r="F21" s="1">
        <f t="shared" si="18"/>
        <v>5279.0923249513944</v>
      </c>
      <c r="G21" s="1">
        <f t="shared" si="16"/>
        <v>3485.0998895109692</v>
      </c>
      <c r="H21" s="1">
        <f t="shared" si="16"/>
        <v>2300.759390485031</v>
      </c>
      <c r="I21" s="131"/>
      <c r="J21" s="1">
        <f t="shared" si="6"/>
        <v>23364.294261654748</v>
      </c>
      <c r="K21" s="1">
        <f t="shared" si="7"/>
        <v>11506.32821002337</v>
      </c>
      <c r="L21" s="1">
        <f t="shared" si="8"/>
        <v>5666.577701602826</v>
      </c>
      <c r="P21" s="1">
        <f t="shared" si="9"/>
        <v>4223.2738599611148</v>
      </c>
      <c r="Q21" s="1">
        <f t="shared" si="17"/>
        <v>0</v>
      </c>
      <c r="R21" s="1">
        <f>N21*0.05</f>
        <v>0</v>
      </c>
      <c r="S21" s="130"/>
      <c r="T21" s="1">
        <f t="shared" si="10"/>
        <v>18691.435409323796</v>
      </c>
      <c r="U21" s="1">
        <f t="shared" si="11"/>
        <v>9205.0625680186949</v>
      </c>
      <c r="V21" s="1">
        <f t="shared" si="12"/>
        <v>4533.2621612822604</v>
      </c>
      <c r="X21" s="1">
        <f t="shared" si="13"/>
        <v>8446.5477199222296</v>
      </c>
      <c r="Y21" s="1"/>
      <c r="Z21" s="1"/>
      <c r="AA21" s="128"/>
      <c r="AB21" s="1">
        <f t="shared" si="14"/>
        <v>37382.870818647592</v>
      </c>
    </row>
    <row r="22" spans="1:29">
      <c r="A22" s="103">
        <v>44</v>
      </c>
      <c r="B22" s="1">
        <f t="shared" si="15"/>
        <v>110058.51679058665</v>
      </c>
      <c r="C22" s="1">
        <f t="shared" si="15"/>
        <v>72657.362496524685</v>
      </c>
      <c r="D22" s="1">
        <f>D23/1.0424</f>
        <v>47966.231772831925</v>
      </c>
      <c r="E22" s="102">
        <v>20</v>
      </c>
      <c r="F22" s="1">
        <f t="shared" si="18"/>
        <v>5502.9258395293327</v>
      </c>
      <c r="G22" s="1">
        <f t="shared" si="16"/>
        <v>3632.8681248262346</v>
      </c>
      <c r="H22" s="1">
        <f t="shared" si="16"/>
        <v>2398.3115886415962</v>
      </c>
      <c r="I22" s="131"/>
      <c r="J22" s="1">
        <f t="shared" si="6"/>
        <v>22689.528915920357</v>
      </c>
      <c r="K22" s="1">
        <f t="shared" si="7"/>
        <v>11174.023221658619</v>
      </c>
      <c r="L22" s="1">
        <f t="shared" si="8"/>
        <v>5502.9258395293327</v>
      </c>
      <c r="P22" s="1">
        <f t="shared" si="9"/>
        <v>4402.3406716234667</v>
      </c>
      <c r="Q22" s="1">
        <f t="shared" si="17"/>
        <v>0</v>
      </c>
      <c r="R22" s="1">
        <f>N22*0.05</f>
        <v>0</v>
      </c>
      <c r="S22" s="130"/>
      <c r="T22" s="1">
        <f t="shared" si="10"/>
        <v>18151.623132736288</v>
      </c>
      <c r="U22" s="1">
        <f t="shared" si="11"/>
        <v>8939.2185773268975</v>
      </c>
      <c r="V22" s="1">
        <f t="shared" si="12"/>
        <v>4402.3406716234667</v>
      </c>
      <c r="X22" s="1">
        <f t="shared" si="13"/>
        <v>8804.6813432469335</v>
      </c>
      <c r="Y22" s="1"/>
      <c r="Z22" s="1"/>
      <c r="AA22" s="128"/>
      <c r="AB22" s="1">
        <f t="shared" si="14"/>
        <v>36303.246265472575</v>
      </c>
    </row>
    <row r="23" spans="1:29">
      <c r="A23" s="103">
        <v>45</v>
      </c>
      <c r="B23" s="1">
        <f t="shared" si="15"/>
        <v>114724.99790250753</v>
      </c>
      <c r="C23" s="1">
        <f t="shared" si="15"/>
        <v>75738.034666377338</v>
      </c>
      <c r="D23" s="1">
        <v>50000</v>
      </c>
      <c r="E23" s="102">
        <v>21</v>
      </c>
      <c r="F23" s="1">
        <f>B23*0.06</f>
        <v>6883.4998741504514</v>
      </c>
      <c r="G23" s="1">
        <f t="shared" ref="G23:H32" si="20">C23*0.06</f>
        <v>4544.2820799826404</v>
      </c>
      <c r="H23" s="1">
        <f t="shared" si="20"/>
        <v>3000</v>
      </c>
      <c r="I23" s="132">
        <v>0.06</v>
      </c>
      <c r="J23" s="1">
        <f t="shared" si="6"/>
        <v>26441.101108949551</v>
      </c>
      <c r="K23" s="1">
        <f t="shared" si="7"/>
        <v>13021.578318901002</v>
      </c>
      <c r="L23" s="1"/>
      <c r="P23" s="1">
        <f t="shared" si="9"/>
        <v>4588.9999161003016</v>
      </c>
      <c r="Q23" s="1">
        <f t="shared" ref="Q23:Q32" si="21">M23*0.06</f>
        <v>0</v>
      </c>
      <c r="R23" s="1">
        <f>N23*0.06</f>
        <v>0</v>
      </c>
      <c r="S23" s="130">
        <v>0.04</v>
      </c>
      <c r="T23" s="1">
        <f t="shared" si="10"/>
        <v>17627.400739299705</v>
      </c>
      <c r="U23" s="1">
        <f t="shared" si="11"/>
        <v>8681.052212600669</v>
      </c>
      <c r="X23" s="1">
        <f t="shared" si="13"/>
        <v>9177.9998322006031</v>
      </c>
      <c r="Y23" s="1"/>
      <c r="Z23" s="1"/>
      <c r="AA23" s="128">
        <v>0.08</v>
      </c>
      <c r="AB23" s="1">
        <f t="shared" si="14"/>
        <v>35254.801478599409</v>
      </c>
    </row>
    <row r="24" spans="1:29">
      <c r="A24" s="103">
        <v>46</v>
      </c>
      <c r="B24" s="1">
        <f t="shared" si="15"/>
        <v>119589.33781357385</v>
      </c>
      <c r="C24" s="1">
        <f t="shared" si="15"/>
        <v>78949.327336231741</v>
      </c>
      <c r="D24" s="1">
        <f t="shared" si="15"/>
        <v>52120</v>
      </c>
      <c r="E24" s="102">
        <v>22</v>
      </c>
      <c r="F24" s="1">
        <f t="shared" ref="F24:F32" si="22">B24*0.06</f>
        <v>7175.3602688144301</v>
      </c>
      <c r="G24" s="1">
        <f t="shared" si="20"/>
        <v>4736.9596401739045</v>
      </c>
      <c r="H24" s="1">
        <f t="shared" si="20"/>
        <v>3127.2</v>
      </c>
      <c r="I24" s="132"/>
      <c r="J24" s="1">
        <f t="shared" si="6"/>
        <v>25677.476985251549</v>
      </c>
      <c r="K24" s="1">
        <f t="shared" si="7"/>
        <v>12645.512613771571</v>
      </c>
      <c r="L24" s="1"/>
      <c r="P24" s="1">
        <f t="shared" si="9"/>
        <v>4783.5735125429537</v>
      </c>
      <c r="Q24" s="1">
        <f t="shared" si="21"/>
        <v>0</v>
      </c>
      <c r="R24" s="1">
        <f t="shared" ref="R24:R32" si="23">N24*0.06</f>
        <v>0</v>
      </c>
      <c r="S24" s="130"/>
      <c r="T24" s="1">
        <f t="shared" si="10"/>
        <v>17118.317990167703</v>
      </c>
      <c r="U24" s="1">
        <f t="shared" si="11"/>
        <v>8430.3417425143816</v>
      </c>
      <c r="X24" s="1">
        <f t="shared" si="13"/>
        <v>9567.1470250859074</v>
      </c>
      <c r="Y24" s="1"/>
      <c r="Z24" s="1"/>
      <c r="AA24" s="128"/>
      <c r="AB24" s="1">
        <f t="shared" si="14"/>
        <v>34236.635980335406</v>
      </c>
    </row>
    <row r="25" spans="1:29">
      <c r="A25" s="103">
        <v>47</v>
      </c>
      <c r="B25" s="1">
        <f t="shared" si="15"/>
        <v>124659.92573686938</v>
      </c>
      <c r="C25" s="1">
        <f t="shared" si="15"/>
        <v>82296.778815287966</v>
      </c>
      <c r="D25" s="1">
        <f t="shared" si="15"/>
        <v>54329.887999999999</v>
      </c>
      <c r="E25" s="102">
        <v>23</v>
      </c>
      <c r="F25" s="1">
        <f t="shared" si="22"/>
        <v>7479.5955442121622</v>
      </c>
      <c r="G25" s="1">
        <f t="shared" si="20"/>
        <v>4937.8067289172777</v>
      </c>
      <c r="H25" s="1">
        <f t="shared" si="20"/>
        <v>3259.7932799999999</v>
      </c>
      <c r="I25" s="132"/>
      <c r="J25" s="1">
        <f t="shared" si="6"/>
        <v>24935.906474218576</v>
      </c>
      <c r="K25" s="1">
        <f t="shared" si="7"/>
        <v>12280.307759079082</v>
      </c>
      <c r="L25" s="1"/>
      <c r="P25" s="1">
        <f t="shared" si="9"/>
        <v>4986.3970294747751</v>
      </c>
      <c r="Q25" s="1">
        <f t="shared" si="21"/>
        <v>0</v>
      </c>
      <c r="R25" s="1">
        <f t="shared" si="23"/>
        <v>0</v>
      </c>
      <c r="S25" s="130"/>
      <c r="T25" s="1">
        <f t="shared" si="10"/>
        <v>16623.937649479052</v>
      </c>
      <c r="U25" s="1">
        <f t="shared" si="11"/>
        <v>8186.8718393860545</v>
      </c>
      <c r="X25" s="1">
        <f t="shared" si="13"/>
        <v>9972.7940589495502</v>
      </c>
      <c r="Y25" s="1"/>
      <c r="Z25" s="1"/>
      <c r="AA25" s="128"/>
      <c r="AB25" s="1">
        <f t="shared" si="14"/>
        <v>33247.875298958104</v>
      </c>
    </row>
    <row r="26" spans="1:29">
      <c r="A26" s="103">
        <v>48</v>
      </c>
      <c r="B26" s="1">
        <f t="shared" si="15"/>
        <v>129945.50658811264</v>
      </c>
      <c r="C26" s="1">
        <f t="shared" si="15"/>
        <v>85786.162237056182</v>
      </c>
      <c r="D26" s="1">
        <f t="shared" si="15"/>
        <v>56633.475251199998</v>
      </c>
      <c r="E26" s="102">
        <v>24</v>
      </c>
      <c r="F26" s="1">
        <f t="shared" si="22"/>
        <v>7796.7303952867578</v>
      </c>
      <c r="G26" s="1">
        <f t="shared" si="20"/>
        <v>5147.1697342233711</v>
      </c>
      <c r="H26" s="1">
        <f t="shared" si="20"/>
        <v>3398.0085150719997</v>
      </c>
      <c r="I26" s="132"/>
      <c r="J26" s="1">
        <f t="shared" si="6"/>
        <v>24215.752663243384</v>
      </c>
      <c r="K26" s="1">
        <f t="shared" si="7"/>
        <v>11925.650091358335</v>
      </c>
      <c r="L26" s="1"/>
      <c r="P26" s="1">
        <f t="shared" si="9"/>
        <v>5197.8202635245052</v>
      </c>
      <c r="Q26" s="1">
        <f t="shared" si="21"/>
        <v>0</v>
      </c>
      <c r="R26" s="1">
        <f t="shared" si="23"/>
        <v>0</v>
      </c>
      <c r="S26" s="130"/>
      <c r="T26" s="1">
        <f t="shared" si="10"/>
        <v>16143.835108828922</v>
      </c>
      <c r="U26" s="1">
        <f t="shared" si="11"/>
        <v>7950.4333942388894</v>
      </c>
      <c r="X26" s="1">
        <f t="shared" si="13"/>
        <v>10395.64052704901</v>
      </c>
      <c r="Y26" s="1"/>
      <c r="Z26" s="1"/>
      <c r="AA26" s="128"/>
      <c r="AB26" s="1">
        <f t="shared" si="14"/>
        <v>32287.670217657844</v>
      </c>
    </row>
    <row r="27" spans="1:29">
      <c r="A27" s="103">
        <v>49</v>
      </c>
      <c r="B27" s="1">
        <f t="shared" si="15"/>
        <v>135455.19606744862</v>
      </c>
      <c r="C27" s="1">
        <f t="shared" si="15"/>
        <v>89423.495515907358</v>
      </c>
      <c r="D27" s="1">
        <f t="shared" si="15"/>
        <v>59034.734601850876</v>
      </c>
      <c r="E27" s="102">
        <v>25</v>
      </c>
      <c r="F27" s="1">
        <f t="shared" si="22"/>
        <v>8127.3117640469172</v>
      </c>
      <c r="G27" s="1">
        <f t="shared" si="20"/>
        <v>5365.4097309544413</v>
      </c>
      <c r="H27" s="1">
        <f t="shared" si="20"/>
        <v>3542.0840761110526</v>
      </c>
      <c r="I27" s="132"/>
      <c r="J27" s="1">
        <f t="shared" si="6"/>
        <v>23516.397033878242</v>
      </c>
      <c r="K27" s="1">
        <f t="shared" si="7"/>
        <v>11581.235005805787</v>
      </c>
      <c r="L27" s="1"/>
      <c r="P27" s="1">
        <f t="shared" si="9"/>
        <v>5418.2078426979451</v>
      </c>
      <c r="Q27" s="1">
        <f t="shared" si="21"/>
        <v>0</v>
      </c>
      <c r="R27" s="1">
        <f t="shared" si="23"/>
        <v>0</v>
      </c>
      <c r="S27" s="130"/>
      <c r="T27" s="1">
        <f t="shared" si="10"/>
        <v>15677.598022585495</v>
      </c>
      <c r="U27" s="1">
        <f t="shared" si="11"/>
        <v>7720.8233372038585</v>
      </c>
      <c r="X27" s="1">
        <f t="shared" si="13"/>
        <v>10836.41568539589</v>
      </c>
      <c r="Y27" s="1"/>
      <c r="Z27" s="1"/>
      <c r="AA27" s="128"/>
      <c r="AB27" s="1">
        <f t="shared" si="14"/>
        <v>31355.196045170989</v>
      </c>
    </row>
    <row r="28" spans="1:29">
      <c r="A28" s="103">
        <v>50</v>
      </c>
      <c r="B28" s="1">
        <f t="shared" si="15"/>
        <v>141198.49638070844</v>
      </c>
      <c r="C28" s="1">
        <f t="shared" si="15"/>
        <v>93215.051725781828</v>
      </c>
      <c r="D28" s="1">
        <f t="shared" si="15"/>
        <v>61537.807348969356</v>
      </c>
      <c r="E28" s="102">
        <v>26</v>
      </c>
      <c r="F28" s="1">
        <f t="shared" si="22"/>
        <v>8471.9097828425056</v>
      </c>
      <c r="G28" s="1">
        <f t="shared" si="20"/>
        <v>5592.9031035469097</v>
      </c>
      <c r="H28" s="1">
        <f t="shared" si="20"/>
        <v>3692.2684409381613</v>
      </c>
      <c r="I28" s="132"/>
      <c r="J28" s="1">
        <f t="shared" si="6"/>
        <v>22837.238930608051</v>
      </c>
      <c r="K28" s="1">
        <f t="shared" si="7"/>
        <v>11246.76669466364</v>
      </c>
      <c r="L28" s="1"/>
      <c r="P28" s="1">
        <f t="shared" si="9"/>
        <v>5647.9398552283374</v>
      </c>
      <c r="Q28" s="1">
        <f t="shared" si="21"/>
        <v>0</v>
      </c>
      <c r="R28" s="1">
        <f t="shared" si="23"/>
        <v>0</v>
      </c>
      <c r="S28" s="130"/>
      <c r="T28" s="1">
        <f t="shared" si="10"/>
        <v>15224.825953738702</v>
      </c>
      <c r="U28" s="1">
        <f t="shared" si="11"/>
        <v>7497.8444631090942</v>
      </c>
      <c r="X28" s="1">
        <f t="shared" si="13"/>
        <v>11295.879710456675</v>
      </c>
      <c r="Y28" s="1"/>
      <c r="Z28" s="1"/>
      <c r="AA28" s="128"/>
      <c r="AB28" s="1">
        <f t="shared" si="14"/>
        <v>30449.651907477404</v>
      </c>
    </row>
    <row r="29" spans="1:29">
      <c r="A29" s="103">
        <v>51</v>
      </c>
      <c r="B29" s="1">
        <f t="shared" si="15"/>
        <v>147185.31262725047</v>
      </c>
      <c r="C29" s="1">
        <f t="shared" si="15"/>
        <v>97167.369918954981</v>
      </c>
      <c r="D29" s="1">
        <f t="shared" si="15"/>
        <v>64147.010380565654</v>
      </c>
      <c r="E29" s="102">
        <v>27</v>
      </c>
      <c r="F29" s="1">
        <f t="shared" si="22"/>
        <v>8831.1187576350276</v>
      </c>
      <c r="G29" s="1">
        <f t="shared" si="20"/>
        <v>5830.0421951372982</v>
      </c>
      <c r="H29" s="1">
        <f t="shared" si="20"/>
        <v>3848.8206228339391</v>
      </c>
      <c r="I29" s="132"/>
      <c r="J29" s="1">
        <f t="shared" si="6"/>
        <v>22177.695044965378</v>
      </c>
      <c r="K29" s="1">
        <f t="shared" si="7"/>
        <v>10921.957893159471</v>
      </c>
      <c r="L29" s="1"/>
      <c r="P29" s="1">
        <f t="shared" si="9"/>
        <v>5887.4125050900193</v>
      </c>
      <c r="Q29" s="1">
        <f t="shared" si="21"/>
        <v>0</v>
      </c>
      <c r="R29" s="1">
        <f t="shared" si="23"/>
        <v>0</v>
      </c>
      <c r="S29" s="130"/>
      <c r="T29" s="1">
        <f t="shared" si="10"/>
        <v>14785.130029976921</v>
      </c>
      <c r="U29" s="1">
        <f t="shared" si="11"/>
        <v>7281.3052621063161</v>
      </c>
      <c r="X29" s="1">
        <f t="shared" si="13"/>
        <v>11774.825010180039</v>
      </c>
      <c r="Y29" s="1"/>
      <c r="Z29" s="1"/>
      <c r="AA29" s="128"/>
      <c r="AB29" s="1">
        <f t="shared" si="14"/>
        <v>29570.260059953842</v>
      </c>
    </row>
    <row r="30" spans="1:29">
      <c r="A30" s="103">
        <v>52</v>
      </c>
      <c r="B30" s="1">
        <f t="shared" si="15"/>
        <v>153425.96988264591</v>
      </c>
      <c r="C30" s="1">
        <f t="shared" si="15"/>
        <v>101287.26640351868</v>
      </c>
      <c r="D30" s="1">
        <f t="shared" si="15"/>
        <v>66866.843620701635</v>
      </c>
      <c r="E30" s="102">
        <v>28</v>
      </c>
      <c r="F30" s="1">
        <f t="shared" si="22"/>
        <v>9205.5581929587534</v>
      </c>
      <c r="G30" s="1">
        <f t="shared" si="20"/>
        <v>6077.23598421112</v>
      </c>
      <c r="H30" s="1">
        <f t="shared" si="20"/>
        <v>4012.0106172420979</v>
      </c>
      <c r="I30" s="132"/>
      <c r="J30" s="1">
        <f t="shared" si="6"/>
        <v>21537.198914544355</v>
      </c>
      <c r="K30" s="1">
        <f t="shared" si="7"/>
        <v>10606.529632783153</v>
      </c>
      <c r="L30" s="1"/>
      <c r="P30" s="1">
        <f t="shared" si="9"/>
        <v>6137.0387953058362</v>
      </c>
      <c r="Q30" s="1">
        <f t="shared" si="21"/>
        <v>0</v>
      </c>
      <c r="R30" s="1">
        <f t="shared" si="23"/>
        <v>0</v>
      </c>
      <c r="S30" s="130"/>
      <c r="T30" s="1">
        <f t="shared" si="10"/>
        <v>14358.132609696238</v>
      </c>
      <c r="U30" s="1">
        <f>$P30*(1+$U$1)^(54-$A30)</f>
        <v>7071.0197551887695</v>
      </c>
      <c r="X30" s="1">
        <f t="shared" si="13"/>
        <v>12274.077590611672</v>
      </c>
      <c r="Y30" s="1"/>
      <c r="Z30" s="1"/>
      <c r="AA30" s="128"/>
      <c r="AB30" s="1">
        <f t="shared" si="14"/>
        <v>28716.265219392477</v>
      </c>
    </row>
    <row r="31" spans="1:29">
      <c r="A31" s="103">
        <v>53</v>
      </c>
      <c r="B31" s="1">
        <f t="shared" si="15"/>
        <v>159931.2310056701</v>
      </c>
      <c r="C31" s="1">
        <f t="shared" si="15"/>
        <v>105581.84649902787</v>
      </c>
      <c r="D31" s="1">
        <f t="shared" si="15"/>
        <v>69701.997790219379</v>
      </c>
      <c r="E31" s="102">
        <v>29</v>
      </c>
      <c r="F31" s="1">
        <f t="shared" si="22"/>
        <v>9595.8738603402053</v>
      </c>
      <c r="G31" s="1">
        <f t="shared" si="20"/>
        <v>6334.9107899416722</v>
      </c>
      <c r="H31" s="1">
        <f t="shared" si="20"/>
        <v>4182.1198674131629</v>
      </c>
      <c r="I31" s="132"/>
      <c r="J31" s="1">
        <f t="shared" si="6"/>
        <v>20915.20043648317</v>
      </c>
      <c r="K31" s="1">
        <f t="shared" si="7"/>
        <v>10300.211001689175</v>
      </c>
      <c r="L31" s="1"/>
      <c r="P31" s="1">
        <f t="shared" si="9"/>
        <v>6397.2492402268035</v>
      </c>
      <c r="Q31" s="1">
        <f t="shared" si="21"/>
        <v>0</v>
      </c>
      <c r="R31" s="1">
        <f t="shared" si="23"/>
        <v>0</v>
      </c>
      <c r="S31" s="130"/>
      <c r="T31" s="1">
        <f t="shared" si="10"/>
        <v>13943.466957655448</v>
      </c>
      <c r="U31" s="1">
        <f t="shared" si="11"/>
        <v>6866.8073344594504</v>
      </c>
      <c r="X31" s="1">
        <f t="shared" si="13"/>
        <v>12794.498480453607</v>
      </c>
      <c r="Y31" s="1"/>
      <c r="Z31" s="1"/>
      <c r="AA31" s="128"/>
      <c r="AB31" s="1">
        <f t="shared" si="14"/>
        <v>27886.933915310896</v>
      </c>
    </row>
    <row r="32" spans="1:29">
      <c r="A32" s="103">
        <v>54</v>
      </c>
      <c r="B32" s="1">
        <f t="shared" si="15"/>
        <v>166712.31520031052</v>
      </c>
      <c r="C32" s="1">
        <f t="shared" si="15"/>
        <v>110058.51679058665</v>
      </c>
      <c r="D32" s="1">
        <f t="shared" si="15"/>
        <v>72657.362496524685</v>
      </c>
      <c r="E32" s="102">
        <v>30</v>
      </c>
      <c r="F32" s="1">
        <f t="shared" si="22"/>
        <v>10002.738912018631</v>
      </c>
      <c r="G32" s="1">
        <f t="shared" si="20"/>
        <v>6603.5110074351987</v>
      </c>
      <c r="H32" s="1">
        <f t="shared" si="20"/>
        <v>4359.441749791481</v>
      </c>
      <c r="I32" s="132"/>
      <c r="J32" s="1">
        <f t="shared" si="6"/>
        <v>20311.165394997264</v>
      </c>
      <c r="K32" s="1">
        <f t="shared" si="7"/>
        <v>10002.738912018631</v>
      </c>
      <c r="L32" s="1"/>
      <c r="P32" s="1">
        <f t="shared" si="9"/>
        <v>6668.4926080124205</v>
      </c>
      <c r="Q32" s="1">
        <f t="shared" si="21"/>
        <v>0</v>
      </c>
      <c r="R32" s="1">
        <f t="shared" si="23"/>
        <v>0</v>
      </c>
      <c r="S32" s="130"/>
      <c r="T32" s="1">
        <f t="shared" si="10"/>
        <v>13540.776929998177</v>
      </c>
      <c r="U32" s="1">
        <f t="shared" si="11"/>
        <v>6668.4926080124205</v>
      </c>
      <c r="X32" s="1">
        <f t="shared" si="13"/>
        <v>13336.985216024841</v>
      </c>
      <c r="Y32" s="1"/>
      <c r="Z32" s="1"/>
      <c r="AA32" s="128"/>
      <c r="AB32" s="1">
        <f t="shared" si="14"/>
        <v>27081.553859996355</v>
      </c>
      <c r="AC32" s="1"/>
    </row>
    <row r="33" spans="1:28">
      <c r="A33" s="103">
        <v>55</v>
      </c>
      <c r="B33" s="1">
        <f t="shared" si="15"/>
        <v>173780.9173648037</v>
      </c>
      <c r="C33" s="1">
        <f t="shared" si="15"/>
        <v>114724.99790250753</v>
      </c>
      <c r="D33" s="1">
        <f t="shared" si="15"/>
        <v>75738.034666377338</v>
      </c>
      <c r="E33" s="102">
        <v>31</v>
      </c>
      <c r="F33" s="1">
        <f>B33*0.07</f>
        <v>12164.664215536261</v>
      </c>
      <c r="G33" s="1">
        <f t="shared" ref="G33:H42" si="24">C33*0.07</f>
        <v>8030.7498531755282</v>
      </c>
      <c r="H33" s="1">
        <f t="shared" si="24"/>
        <v>5301.6624266464141</v>
      </c>
      <c r="I33" s="133">
        <v>7.0000000000000007E-2</v>
      </c>
      <c r="J33" s="1">
        <f t="shared" si="6"/>
        <v>23012.00416965035</v>
      </c>
      <c r="P33" s="1">
        <f t="shared" si="9"/>
        <v>6951.2366945921476</v>
      </c>
      <c r="Q33" s="1">
        <f t="shared" ref="Q33:Q42" si="25">M33*0.07</f>
        <v>0</v>
      </c>
      <c r="R33" s="1">
        <f t="shared" ref="R33:R42" si="26">N33*0.07</f>
        <v>0</v>
      </c>
      <c r="S33" s="130">
        <v>0.04</v>
      </c>
      <c r="T33" s="1">
        <f t="shared" si="10"/>
        <v>13149.716668371626</v>
      </c>
      <c r="X33" s="1">
        <f t="shared" si="13"/>
        <v>13902.473389184295</v>
      </c>
      <c r="Y33" s="1"/>
      <c r="Z33" s="1"/>
      <c r="AA33" s="128">
        <v>0.08</v>
      </c>
      <c r="AB33" s="1">
        <f t="shared" si="14"/>
        <v>26299.433336743252</v>
      </c>
    </row>
    <row r="34" spans="1:28">
      <c r="A34" s="103">
        <v>56</v>
      </c>
      <c r="B34" s="1">
        <f t="shared" si="15"/>
        <v>181149.22826107137</v>
      </c>
      <c r="C34" s="1">
        <f t="shared" si="15"/>
        <v>119589.33781357385</v>
      </c>
      <c r="D34" s="1">
        <f t="shared" si="15"/>
        <v>78949.327336231741</v>
      </c>
      <c r="E34" s="102">
        <v>32</v>
      </c>
      <c r="F34" s="1">
        <f t="shared" ref="F34:F42" si="27">B34*0.07</f>
        <v>12680.445978274998</v>
      </c>
      <c r="G34" s="1">
        <f t="shared" si="24"/>
        <v>8371.2536469501702</v>
      </c>
      <c r="H34" s="1">
        <f t="shared" si="24"/>
        <v>5526.4529135362227</v>
      </c>
      <c r="I34" s="133"/>
      <c r="J34" s="1">
        <f t="shared" si="6"/>
        <v>22347.413030038686</v>
      </c>
      <c r="P34" s="1">
        <f t="shared" si="9"/>
        <v>7245.9691304428552</v>
      </c>
      <c r="Q34" s="1">
        <f t="shared" si="25"/>
        <v>0</v>
      </c>
      <c r="R34" s="1">
        <f t="shared" si="26"/>
        <v>0</v>
      </c>
      <c r="S34" s="130"/>
      <c r="T34" s="1">
        <f t="shared" si="10"/>
        <v>12769.950302879248</v>
      </c>
      <c r="X34" s="1">
        <f t="shared" si="13"/>
        <v>14491.93826088571</v>
      </c>
      <c r="Y34" s="1">
        <f t="shared" ref="Y33:Y42" si="28">U34*0.07</f>
        <v>0</v>
      </c>
      <c r="Z34" s="1">
        <f t="shared" ref="Z33:Z42" si="29">V34*0.07</f>
        <v>0</v>
      </c>
      <c r="AA34" s="128"/>
      <c r="AB34" s="1">
        <f t="shared" si="14"/>
        <v>25539.900605758496</v>
      </c>
    </row>
    <row r="35" spans="1:28">
      <c r="A35" s="103">
        <v>57</v>
      </c>
      <c r="B35" s="1">
        <f t="shared" si="15"/>
        <v>188829.95553934079</v>
      </c>
      <c r="C35" s="1">
        <f t="shared" si="15"/>
        <v>124659.92573686938</v>
      </c>
      <c r="D35" s="1">
        <f t="shared" si="15"/>
        <v>82296.778815287966</v>
      </c>
      <c r="E35" s="102">
        <v>33</v>
      </c>
      <c r="F35" s="1">
        <f t="shared" si="27"/>
        <v>13218.096887753856</v>
      </c>
      <c r="G35" s="1">
        <f t="shared" si="24"/>
        <v>8726.1948015808575</v>
      </c>
      <c r="H35" s="1">
        <f t="shared" si="24"/>
        <v>5760.7745170701583</v>
      </c>
      <c r="I35" s="133"/>
      <c r="J35" s="1">
        <f t="shared" si="6"/>
        <v>21702.015411321336</v>
      </c>
      <c r="P35" s="1">
        <f t="shared" si="9"/>
        <v>7553.1982215736316</v>
      </c>
      <c r="Q35" s="1">
        <f t="shared" si="25"/>
        <v>0</v>
      </c>
      <c r="R35" s="1">
        <f t="shared" si="26"/>
        <v>0</v>
      </c>
      <c r="S35" s="130"/>
      <c r="T35" s="1">
        <f t="shared" si="10"/>
        <v>12401.151663612191</v>
      </c>
      <c r="X35" s="1">
        <f t="shared" si="13"/>
        <v>15106.396443147263</v>
      </c>
      <c r="Y35" s="1">
        <f t="shared" si="28"/>
        <v>0</v>
      </c>
      <c r="Z35" s="1">
        <f t="shared" si="29"/>
        <v>0</v>
      </c>
      <c r="AA35" s="128"/>
      <c r="AB35" s="1">
        <f t="shared" si="14"/>
        <v>24802.303327224381</v>
      </c>
    </row>
    <row r="36" spans="1:28">
      <c r="A36" s="103">
        <v>58</v>
      </c>
      <c r="B36" s="1">
        <f t="shared" si="15"/>
        <v>196836.34565420885</v>
      </c>
      <c r="C36" s="1">
        <f t="shared" si="15"/>
        <v>129945.50658811264</v>
      </c>
      <c r="D36" s="1">
        <f t="shared" si="15"/>
        <v>85786.162237056182</v>
      </c>
      <c r="E36" s="102">
        <v>34</v>
      </c>
      <c r="F36" s="1">
        <f t="shared" si="27"/>
        <v>13778.54419579462</v>
      </c>
      <c r="G36" s="1">
        <f t="shared" si="24"/>
        <v>9096.1854611678846</v>
      </c>
      <c r="H36" s="1">
        <f t="shared" si="24"/>
        <v>6005.0313565939332</v>
      </c>
      <c r="I36" s="133"/>
      <c r="J36" s="1">
        <f t="shared" si="6"/>
        <v>21075.257000895625</v>
      </c>
      <c r="P36" s="1">
        <f t="shared" si="9"/>
        <v>7873.4538261683547</v>
      </c>
      <c r="Q36" s="1">
        <f t="shared" si="25"/>
        <v>0</v>
      </c>
      <c r="R36" s="1">
        <f t="shared" si="26"/>
        <v>0</v>
      </c>
      <c r="S36" s="130"/>
      <c r="T36" s="1">
        <f t="shared" si="10"/>
        <v>12043.004000511786</v>
      </c>
      <c r="X36" s="1">
        <f t="shared" si="13"/>
        <v>15746.907652336709</v>
      </c>
      <c r="Y36" s="1">
        <f t="shared" si="28"/>
        <v>0</v>
      </c>
      <c r="Z36" s="1">
        <f t="shared" si="29"/>
        <v>0</v>
      </c>
      <c r="AA36" s="128"/>
      <c r="AB36" s="1">
        <f t="shared" si="14"/>
        <v>24086.008001023572</v>
      </c>
    </row>
    <row r="37" spans="1:28">
      <c r="A37" s="103">
        <v>59</v>
      </c>
      <c r="B37" s="1">
        <f t="shared" si="15"/>
        <v>205182.20670994732</v>
      </c>
      <c r="C37" s="1">
        <f t="shared" si="15"/>
        <v>135455.19606744862</v>
      </c>
      <c r="D37" s="1">
        <f t="shared" si="15"/>
        <v>89423.495515907358</v>
      </c>
      <c r="E37" s="102">
        <v>35</v>
      </c>
      <c r="F37" s="1">
        <f t="shared" si="27"/>
        <v>14362.754469696314</v>
      </c>
      <c r="G37" s="1">
        <f t="shared" si="24"/>
        <v>9481.8637247214047</v>
      </c>
      <c r="H37" s="1">
        <f t="shared" si="24"/>
        <v>6259.6446861135155</v>
      </c>
      <c r="I37" s="133"/>
      <c r="J37" s="1">
        <f t="shared" si="6"/>
        <v>20466.599494814243</v>
      </c>
      <c r="P37" s="1">
        <f t="shared" si="9"/>
        <v>8207.2882683978933</v>
      </c>
      <c r="Q37" s="1">
        <f t="shared" si="25"/>
        <v>0</v>
      </c>
      <c r="R37" s="1">
        <f t="shared" si="26"/>
        <v>0</v>
      </c>
      <c r="S37" s="130"/>
      <c r="T37" s="1">
        <f t="shared" si="10"/>
        <v>11695.199711322424</v>
      </c>
      <c r="X37" s="1">
        <f t="shared" si="13"/>
        <v>16414.576536795787</v>
      </c>
      <c r="Y37" s="1">
        <f t="shared" si="28"/>
        <v>0</v>
      </c>
      <c r="Z37" s="1">
        <f t="shared" si="29"/>
        <v>0</v>
      </c>
      <c r="AA37" s="128"/>
      <c r="AB37" s="1">
        <f t="shared" si="14"/>
        <v>23390.399422644849</v>
      </c>
    </row>
    <row r="38" spans="1:28">
      <c r="A38" s="103">
        <v>60</v>
      </c>
      <c r="B38" s="1">
        <f t="shared" si="15"/>
        <v>213881.93227444909</v>
      </c>
      <c r="C38" s="1">
        <f t="shared" si="15"/>
        <v>141198.49638070844</v>
      </c>
      <c r="D38" s="1">
        <f t="shared" si="15"/>
        <v>93215.051725781828</v>
      </c>
      <c r="E38" s="102">
        <v>36</v>
      </c>
      <c r="F38" s="1">
        <f t="shared" si="27"/>
        <v>14971.735259211438</v>
      </c>
      <c r="G38" s="1">
        <f t="shared" si="24"/>
        <v>9883.894746649592</v>
      </c>
      <c r="H38" s="1">
        <f t="shared" si="24"/>
        <v>6525.0536208047288</v>
      </c>
      <c r="I38" s="133"/>
      <c r="J38" s="1">
        <f t="shared" si="6"/>
        <v>19875.520135452178</v>
      </c>
      <c r="P38" s="1">
        <f t="shared" si="9"/>
        <v>8555.2772909779633</v>
      </c>
      <c r="Q38" s="1">
        <f t="shared" si="25"/>
        <v>0</v>
      </c>
      <c r="R38" s="1">
        <f t="shared" si="26"/>
        <v>0</v>
      </c>
      <c r="S38" s="130"/>
      <c r="T38" s="1">
        <f t="shared" si="10"/>
        <v>11357.440077401243</v>
      </c>
      <c r="X38" s="1">
        <f t="shared" si="13"/>
        <v>17110.554581955927</v>
      </c>
      <c r="Y38" s="1">
        <f t="shared" si="28"/>
        <v>0</v>
      </c>
      <c r="Z38" s="1">
        <f t="shared" si="29"/>
        <v>0</v>
      </c>
      <c r="AA38" s="128"/>
      <c r="AB38" s="1">
        <f t="shared" si="14"/>
        <v>22714.880154802486</v>
      </c>
    </row>
    <row r="39" spans="1:28">
      <c r="A39" s="103">
        <v>61</v>
      </c>
      <c r="B39" s="1">
        <f t="shared" si="15"/>
        <v>222950.52620288573</v>
      </c>
      <c r="C39" s="1">
        <f t="shared" si="15"/>
        <v>147185.31262725047</v>
      </c>
      <c r="D39" s="1">
        <f t="shared" si="15"/>
        <v>97167.369918954981</v>
      </c>
      <c r="E39" s="102">
        <v>37</v>
      </c>
      <c r="F39" s="1">
        <f t="shared" si="27"/>
        <v>15606.536834202003</v>
      </c>
      <c r="G39" s="1">
        <f t="shared" si="24"/>
        <v>10302.971883907534</v>
      </c>
      <c r="H39" s="1">
        <f t="shared" si="24"/>
        <v>6801.7158943268496</v>
      </c>
      <c r="I39" s="133"/>
      <c r="J39" s="1">
        <f t="shared" si="6"/>
        <v>19301.511262525943</v>
      </c>
      <c r="P39" s="1">
        <f t="shared" si="9"/>
        <v>8918.0210481154299</v>
      </c>
      <c r="Q39" s="1">
        <f t="shared" si="25"/>
        <v>0</v>
      </c>
      <c r="R39" s="1">
        <f t="shared" si="26"/>
        <v>0</v>
      </c>
      <c r="S39" s="130"/>
      <c r="T39" s="1">
        <f t="shared" si="10"/>
        <v>11029.435007157683</v>
      </c>
      <c r="X39" s="1">
        <f t="shared" si="13"/>
        <v>17836.04209623086</v>
      </c>
      <c r="Y39" s="1">
        <f t="shared" si="28"/>
        <v>0</v>
      </c>
      <c r="Z39" s="1">
        <f t="shared" si="29"/>
        <v>0</v>
      </c>
      <c r="AA39" s="128"/>
      <c r="AB39" s="1">
        <f t="shared" si="14"/>
        <v>22058.870014315366</v>
      </c>
    </row>
    <row r="40" spans="1:28">
      <c r="A40" s="103">
        <v>62</v>
      </c>
      <c r="B40" s="1">
        <f t="shared" si="15"/>
        <v>232403.62851388808</v>
      </c>
      <c r="C40" s="1">
        <f t="shared" si="15"/>
        <v>153425.96988264591</v>
      </c>
      <c r="D40" s="1">
        <f t="shared" si="15"/>
        <v>101287.26640351868</v>
      </c>
      <c r="E40" s="102">
        <v>38</v>
      </c>
      <c r="F40" s="1">
        <f t="shared" si="27"/>
        <v>16268.253995972167</v>
      </c>
      <c r="G40" s="1">
        <f t="shared" si="24"/>
        <v>10739.817891785215</v>
      </c>
      <c r="H40" s="1">
        <f t="shared" si="24"/>
        <v>7090.1086482463079</v>
      </c>
      <c r="I40" s="133"/>
      <c r="J40" s="1">
        <f t="shared" si="6"/>
        <v>18744.079877079417</v>
      </c>
      <c r="P40" s="1">
        <f t="shared" si="9"/>
        <v>9296.1451405555235</v>
      </c>
      <c r="Q40" s="1">
        <f t="shared" si="25"/>
        <v>0</v>
      </c>
      <c r="R40" s="1">
        <f t="shared" si="26"/>
        <v>0</v>
      </c>
      <c r="S40" s="130"/>
      <c r="T40" s="1">
        <f t="shared" si="10"/>
        <v>10710.902786902523</v>
      </c>
      <c r="X40" s="1">
        <f t="shared" si="13"/>
        <v>18592.290281111047</v>
      </c>
      <c r="Y40" s="1">
        <f t="shared" si="28"/>
        <v>0</v>
      </c>
      <c r="Z40" s="1">
        <f t="shared" si="29"/>
        <v>0</v>
      </c>
      <c r="AA40" s="128"/>
      <c r="AB40" s="1">
        <f t="shared" si="14"/>
        <v>21421.805573805046</v>
      </c>
    </row>
    <row r="41" spans="1:28">
      <c r="A41" s="103">
        <v>63</v>
      </c>
      <c r="B41" s="1">
        <f t="shared" si="15"/>
        <v>242257.54236287693</v>
      </c>
      <c r="C41" s="1">
        <f t="shared" si="15"/>
        <v>159931.2310056701</v>
      </c>
      <c r="D41" s="1">
        <f t="shared" si="15"/>
        <v>105581.84649902787</v>
      </c>
      <c r="E41" s="102">
        <v>39</v>
      </c>
      <c r="F41" s="1">
        <f t="shared" si="27"/>
        <v>16958.027965401387</v>
      </c>
      <c r="G41" s="1">
        <f t="shared" si="24"/>
        <v>11195.186170396908</v>
      </c>
      <c r="H41" s="1">
        <f t="shared" si="24"/>
        <v>7390.7292549319518</v>
      </c>
      <c r="I41" s="133"/>
      <c r="J41" s="1">
        <f t="shared" si="6"/>
        <v>18202.747218061846</v>
      </c>
      <c r="P41" s="1">
        <f t="shared" si="9"/>
        <v>9690.3016945150775</v>
      </c>
      <c r="Q41" s="1">
        <f t="shared" si="25"/>
        <v>0</v>
      </c>
      <c r="R41" s="1">
        <f t="shared" si="26"/>
        <v>0</v>
      </c>
      <c r="S41" s="130"/>
      <c r="T41" s="1">
        <f t="shared" si="10"/>
        <v>10401.569838892483</v>
      </c>
      <c r="X41" s="1">
        <f t="shared" si="13"/>
        <v>19380.603389030155</v>
      </c>
      <c r="Y41" s="1">
        <f t="shared" si="28"/>
        <v>0</v>
      </c>
      <c r="Z41" s="1">
        <f t="shared" si="29"/>
        <v>0</v>
      </c>
      <c r="AA41" s="128"/>
      <c r="AB41" s="1">
        <f t="shared" si="14"/>
        <v>20803.139677784966</v>
      </c>
    </row>
    <row r="42" spans="1:28">
      <c r="A42" s="103">
        <v>64</v>
      </c>
      <c r="B42" s="1">
        <f t="shared" si="15"/>
        <v>252529.26215906293</v>
      </c>
      <c r="C42" s="1">
        <f t="shared" si="15"/>
        <v>166712.31520031052</v>
      </c>
      <c r="D42" s="1">
        <f t="shared" si="15"/>
        <v>110058.51679058665</v>
      </c>
      <c r="E42" s="102">
        <v>40</v>
      </c>
      <c r="F42" s="1">
        <f t="shared" si="27"/>
        <v>17677.048351134406</v>
      </c>
      <c r="G42" s="1">
        <f t="shared" si="24"/>
        <v>11669.862064021738</v>
      </c>
      <c r="H42" s="1">
        <f t="shared" si="24"/>
        <v>7704.0961753410666</v>
      </c>
      <c r="I42" s="133"/>
      <c r="J42" s="1">
        <f t="shared" si="6"/>
        <v>17677.048351134406</v>
      </c>
      <c r="P42" s="1">
        <f t="shared" si="9"/>
        <v>10101.170486362518</v>
      </c>
      <c r="Q42" s="1">
        <f t="shared" si="25"/>
        <v>0</v>
      </c>
      <c r="R42" s="1">
        <f t="shared" si="26"/>
        <v>0</v>
      </c>
      <c r="S42" s="130"/>
      <c r="T42" s="1">
        <f t="shared" si="10"/>
        <v>10101.170486362518</v>
      </c>
      <c r="X42" s="1">
        <f t="shared" si="13"/>
        <v>20202.340972725036</v>
      </c>
      <c r="Y42" s="1">
        <f t="shared" si="28"/>
        <v>0</v>
      </c>
      <c r="Z42" s="1">
        <f t="shared" si="29"/>
        <v>0</v>
      </c>
      <c r="AA42" s="128"/>
      <c r="AB42" s="1">
        <f t="shared" si="14"/>
        <v>20202.340972725036</v>
      </c>
    </row>
    <row r="43" spans="1:28">
      <c r="A43" s="103">
        <v>65</v>
      </c>
      <c r="B43" s="1">
        <f t="shared" si="15"/>
        <v>263236.50287460722</v>
      </c>
      <c r="C43" s="1">
        <f t="shared" si="15"/>
        <v>173780.9173648037</v>
      </c>
      <c r="D43" s="1">
        <f t="shared" si="15"/>
        <v>114724.99790250753</v>
      </c>
      <c r="E43" s="102">
        <v>41</v>
      </c>
      <c r="F43" s="1">
        <f>B43*0.08</f>
        <v>21058.920229968578</v>
      </c>
      <c r="G43" s="1">
        <f t="shared" ref="G43:H52" si="30">C43*0.08</f>
        <v>13902.473389184295</v>
      </c>
      <c r="H43" s="1">
        <f t="shared" si="30"/>
        <v>9177.9998322006031</v>
      </c>
      <c r="I43" s="128">
        <v>0.08</v>
      </c>
      <c r="P43" s="1">
        <f t="shared" si="9"/>
        <v>10529.460114984289</v>
      </c>
      <c r="Q43" s="1">
        <f t="shared" ref="Q43:Q52" si="31">M43*0.08</f>
        <v>0</v>
      </c>
      <c r="R43" s="1">
        <f t="shared" ref="R43:R52" si="32">N43*0.08</f>
        <v>0</v>
      </c>
      <c r="S43" s="130">
        <v>0.04</v>
      </c>
      <c r="X43" s="1">
        <f t="shared" si="13"/>
        <v>21058.920229968578</v>
      </c>
      <c r="Y43" s="1">
        <f t="shared" ref="Y43:Y52" si="33">U43*0.08</f>
        <v>0</v>
      </c>
      <c r="Z43" s="1">
        <f t="shared" ref="Z43:Z52" si="34">V43*0.08</f>
        <v>0</v>
      </c>
      <c r="AA43" s="128">
        <v>0.08</v>
      </c>
      <c r="AB43" s="1"/>
    </row>
    <row r="44" spans="1:28">
      <c r="A44" s="103">
        <v>66</v>
      </c>
      <c r="B44" s="1">
        <f t="shared" si="15"/>
        <v>274397.73059649055</v>
      </c>
      <c r="C44" s="1">
        <f t="shared" si="15"/>
        <v>181149.22826107137</v>
      </c>
      <c r="D44" s="1">
        <f t="shared" si="15"/>
        <v>119589.33781357385</v>
      </c>
      <c r="E44" s="102">
        <v>42</v>
      </c>
      <c r="F44" s="1">
        <f t="shared" ref="F44:F52" si="35">B44*0.08</f>
        <v>21951.818447719244</v>
      </c>
      <c r="G44" s="1">
        <f t="shared" si="30"/>
        <v>14491.93826088571</v>
      </c>
      <c r="H44" s="1">
        <f t="shared" si="30"/>
        <v>9567.1470250859074</v>
      </c>
      <c r="I44" s="128"/>
      <c r="P44" s="1">
        <f t="shared" si="9"/>
        <v>10975.909223859622</v>
      </c>
      <c r="Q44" s="1">
        <f t="shared" si="31"/>
        <v>0</v>
      </c>
      <c r="R44" s="1">
        <f t="shared" si="32"/>
        <v>0</v>
      </c>
      <c r="S44" s="130"/>
      <c r="X44" s="1">
        <f t="shared" si="13"/>
        <v>21951.818447719244</v>
      </c>
      <c r="Y44" s="1">
        <f t="shared" si="33"/>
        <v>0</v>
      </c>
      <c r="Z44" s="1">
        <f t="shared" si="34"/>
        <v>0</v>
      </c>
      <c r="AA44" s="128"/>
      <c r="AB44" s="1"/>
    </row>
    <row r="45" spans="1:28">
      <c r="A45" s="103">
        <v>67</v>
      </c>
      <c r="B45" s="1">
        <f t="shared" si="15"/>
        <v>286032.19437378173</v>
      </c>
      <c r="C45" s="1">
        <f t="shared" si="15"/>
        <v>188829.95553934079</v>
      </c>
      <c r="D45" s="1">
        <f t="shared" si="15"/>
        <v>124659.92573686938</v>
      </c>
      <c r="E45" s="102">
        <v>43</v>
      </c>
      <c r="F45" s="1">
        <f t="shared" si="35"/>
        <v>22882.57554990254</v>
      </c>
      <c r="G45" s="1">
        <f t="shared" si="30"/>
        <v>15106.396443147263</v>
      </c>
      <c r="H45" s="1">
        <f t="shared" si="30"/>
        <v>9972.7940589495502</v>
      </c>
      <c r="I45" s="128"/>
      <c r="P45" s="1">
        <f t="shared" si="9"/>
        <v>11441.28777495127</v>
      </c>
      <c r="Q45" s="1">
        <f t="shared" si="31"/>
        <v>0</v>
      </c>
      <c r="R45" s="1">
        <f t="shared" si="32"/>
        <v>0</v>
      </c>
      <c r="S45" s="130"/>
      <c r="X45" s="1">
        <f t="shared" si="13"/>
        <v>22882.57554990254</v>
      </c>
      <c r="Y45" s="1">
        <f t="shared" si="33"/>
        <v>0</v>
      </c>
      <c r="Z45" s="1">
        <f t="shared" si="34"/>
        <v>0</v>
      </c>
      <c r="AA45" s="128"/>
      <c r="AB45" s="1"/>
    </row>
    <row r="46" spans="1:28">
      <c r="A46" s="103">
        <v>68</v>
      </c>
      <c r="B46" s="1">
        <f t="shared" si="15"/>
        <v>298159.95941523009</v>
      </c>
      <c r="C46" s="1">
        <f t="shared" si="15"/>
        <v>196836.34565420885</v>
      </c>
      <c r="D46" s="1">
        <f t="shared" si="15"/>
        <v>129945.50658811264</v>
      </c>
      <c r="E46" s="102">
        <v>44</v>
      </c>
      <c r="F46" s="1">
        <f t="shared" si="35"/>
        <v>23852.796753218408</v>
      </c>
      <c r="G46" s="1">
        <f t="shared" si="30"/>
        <v>15746.907652336709</v>
      </c>
      <c r="H46" s="1">
        <f t="shared" si="30"/>
        <v>10395.64052704901</v>
      </c>
      <c r="I46" s="128"/>
      <c r="P46" s="1">
        <f t="shared" si="9"/>
        <v>11926.398376609204</v>
      </c>
      <c r="Q46" s="1">
        <f t="shared" si="31"/>
        <v>0</v>
      </c>
      <c r="R46" s="1">
        <f t="shared" si="32"/>
        <v>0</v>
      </c>
      <c r="S46" s="130"/>
      <c r="X46" s="1">
        <f t="shared" si="13"/>
        <v>23852.796753218408</v>
      </c>
      <c r="Y46" s="1">
        <f t="shared" si="33"/>
        <v>0</v>
      </c>
      <c r="Z46" s="1">
        <f t="shared" si="34"/>
        <v>0</v>
      </c>
      <c r="AA46" s="128"/>
      <c r="AB46" s="1"/>
    </row>
    <row r="47" spans="1:28">
      <c r="A47" s="103">
        <v>69</v>
      </c>
      <c r="B47" s="1">
        <f t="shared" si="15"/>
        <v>310801.94169443584</v>
      </c>
      <c r="C47" s="1">
        <f t="shared" si="15"/>
        <v>205182.20670994732</v>
      </c>
      <c r="D47" s="1">
        <f t="shared" si="15"/>
        <v>135455.19606744862</v>
      </c>
      <c r="E47" s="102">
        <v>45</v>
      </c>
      <c r="F47" s="1">
        <f t="shared" si="35"/>
        <v>24864.155335554868</v>
      </c>
      <c r="G47" s="1">
        <f t="shared" si="30"/>
        <v>16414.576536795787</v>
      </c>
      <c r="H47" s="1">
        <f t="shared" si="30"/>
        <v>10836.41568539589</v>
      </c>
      <c r="I47" s="128"/>
      <c r="P47" s="1">
        <f t="shared" si="9"/>
        <v>12432.077667777434</v>
      </c>
      <c r="Q47" s="1">
        <f t="shared" si="31"/>
        <v>0</v>
      </c>
      <c r="R47" s="1">
        <f t="shared" si="32"/>
        <v>0</v>
      </c>
      <c r="S47" s="130"/>
      <c r="X47" s="1">
        <f t="shared" si="13"/>
        <v>24864.155335554868</v>
      </c>
      <c r="Y47" s="1">
        <f t="shared" si="33"/>
        <v>0</v>
      </c>
      <c r="Z47" s="1">
        <f t="shared" si="34"/>
        <v>0</v>
      </c>
      <c r="AA47" s="128"/>
      <c r="AB47" s="1"/>
    </row>
    <row r="48" spans="1:28">
      <c r="A48" s="103">
        <v>70</v>
      </c>
      <c r="B48" s="1">
        <f t="shared" si="15"/>
        <v>323979.94402227993</v>
      </c>
      <c r="C48" s="1">
        <f t="shared" si="15"/>
        <v>213881.93227444909</v>
      </c>
      <c r="D48" s="1">
        <f t="shared" si="15"/>
        <v>141198.49638070844</v>
      </c>
      <c r="E48" s="102">
        <v>46</v>
      </c>
      <c r="F48" s="1">
        <f t="shared" si="35"/>
        <v>25918.395521782397</v>
      </c>
      <c r="G48" s="1">
        <f t="shared" si="30"/>
        <v>17110.554581955927</v>
      </c>
      <c r="H48" s="1">
        <f t="shared" si="30"/>
        <v>11295.879710456675</v>
      </c>
      <c r="I48" s="128"/>
      <c r="P48" s="1">
        <f t="shared" si="9"/>
        <v>12959.197760891198</v>
      </c>
      <c r="Q48" s="1">
        <f t="shared" si="31"/>
        <v>0</v>
      </c>
      <c r="R48" s="1">
        <f t="shared" si="32"/>
        <v>0</v>
      </c>
      <c r="S48" s="130"/>
      <c r="X48" s="1">
        <f t="shared" si="13"/>
        <v>25918.395521782397</v>
      </c>
      <c r="Y48" s="1">
        <f t="shared" si="33"/>
        <v>0</v>
      </c>
      <c r="Z48" s="1">
        <f t="shared" si="34"/>
        <v>0</v>
      </c>
      <c r="AA48" s="128"/>
      <c r="AB48" s="1"/>
    </row>
    <row r="49" spans="1:30">
      <c r="A49" s="103">
        <v>71</v>
      </c>
      <c r="B49" s="1">
        <f t="shared" si="15"/>
        <v>337716.69364882458</v>
      </c>
      <c r="C49" s="1">
        <f t="shared" si="15"/>
        <v>222950.52620288573</v>
      </c>
      <c r="D49" s="1">
        <f t="shared" si="15"/>
        <v>147185.31262725047</v>
      </c>
      <c r="E49" s="102">
        <v>47</v>
      </c>
      <c r="F49" s="1">
        <f t="shared" si="35"/>
        <v>27017.335491905968</v>
      </c>
      <c r="G49" s="1">
        <f t="shared" si="30"/>
        <v>17836.04209623086</v>
      </c>
      <c r="H49" s="1">
        <f t="shared" si="30"/>
        <v>11774.825010180039</v>
      </c>
      <c r="I49" s="128"/>
      <c r="P49" s="1">
        <f t="shared" si="9"/>
        <v>13508.667745952984</v>
      </c>
      <c r="Q49" s="1">
        <f t="shared" si="31"/>
        <v>0</v>
      </c>
      <c r="R49" s="1">
        <f t="shared" si="32"/>
        <v>0</v>
      </c>
      <c r="S49" s="130"/>
      <c r="X49" s="1">
        <f t="shared" si="13"/>
        <v>27017.335491905968</v>
      </c>
      <c r="Y49" s="1">
        <f t="shared" si="33"/>
        <v>0</v>
      </c>
      <c r="Z49" s="1">
        <f t="shared" si="34"/>
        <v>0</v>
      </c>
      <c r="AA49" s="128"/>
      <c r="AB49" s="1"/>
    </row>
    <row r="50" spans="1:30">
      <c r="A50" s="103">
        <v>72</v>
      </c>
      <c r="B50" s="1">
        <f t="shared" si="15"/>
        <v>352035.88145953475</v>
      </c>
      <c r="C50" s="1">
        <f t="shared" si="15"/>
        <v>232403.62851388808</v>
      </c>
      <c r="D50" s="1">
        <f t="shared" si="15"/>
        <v>153425.96988264591</v>
      </c>
      <c r="E50" s="102">
        <v>48</v>
      </c>
      <c r="F50" s="1">
        <f t="shared" si="35"/>
        <v>28162.870516762781</v>
      </c>
      <c r="G50" s="1">
        <f t="shared" si="30"/>
        <v>18592.290281111047</v>
      </c>
      <c r="H50" s="1">
        <f t="shared" si="30"/>
        <v>12274.077590611672</v>
      </c>
      <c r="I50" s="128"/>
      <c r="P50" s="1">
        <f t="shared" si="9"/>
        <v>14081.435258381391</v>
      </c>
      <c r="Q50" s="1">
        <f t="shared" si="31"/>
        <v>0</v>
      </c>
      <c r="R50" s="1">
        <f t="shared" si="32"/>
        <v>0</v>
      </c>
      <c r="S50" s="130"/>
      <c r="X50" s="1">
        <f t="shared" si="13"/>
        <v>28162.870516762781</v>
      </c>
      <c r="Y50" s="1">
        <f t="shared" si="33"/>
        <v>0</v>
      </c>
      <c r="Z50" s="1">
        <f t="shared" si="34"/>
        <v>0</v>
      </c>
      <c r="AA50" s="128"/>
      <c r="AB50" s="1"/>
    </row>
    <row r="51" spans="1:30">
      <c r="A51" s="103">
        <v>73</v>
      </c>
      <c r="B51" s="1">
        <f t="shared" si="15"/>
        <v>366962.20283341903</v>
      </c>
      <c r="C51" s="1">
        <f t="shared" si="15"/>
        <v>242257.54236287693</v>
      </c>
      <c r="D51" s="1">
        <f t="shared" si="15"/>
        <v>159931.2310056701</v>
      </c>
      <c r="E51" s="102">
        <v>49</v>
      </c>
      <c r="F51" s="1">
        <f t="shared" si="35"/>
        <v>29356.976226673523</v>
      </c>
      <c r="G51" s="1">
        <f t="shared" si="30"/>
        <v>19380.603389030155</v>
      </c>
      <c r="H51" s="1">
        <f t="shared" si="30"/>
        <v>12794.498480453607</v>
      </c>
      <c r="I51" s="128"/>
      <c r="P51" s="1">
        <f t="shared" si="9"/>
        <v>14678.488113336762</v>
      </c>
      <c r="Q51" s="1">
        <f t="shared" si="31"/>
        <v>0</v>
      </c>
      <c r="R51" s="1">
        <f t="shared" si="32"/>
        <v>0</v>
      </c>
      <c r="S51" s="130"/>
      <c r="X51" s="1">
        <f t="shared" si="13"/>
        <v>29356.976226673523</v>
      </c>
      <c r="Y51" s="1">
        <f t="shared" si="33"/>
        <v>0</v>
      </c>
      <c r="Z51" s="1">
        <f t="shared" si="34"/>
        <v>0</v>
      </c>
      <c r="AA51" s="128"/>
      <c r="AB51" s="1"/>
    </row>
    <row r="52" spans="1:30">
      <c r="A52" s="103">
        <v>74</v>
      </c>
      <c r="B52" s="1">
        <f t="shared" si="15"/>
        <v>382521.40023355599</v>
      </c>
      <c r="C52" s="1">
        <f t="shared" si="15"/>
        <v>252529.26215906293</v>
      </c>
      <c r="D52" s="1">
        <f t="shared" si="15"/>
        <v>166712.31520031052</v>
      </c>
      <c r="E52" s="102">
        <v>50</v>
      </c>
      <c r="F52" s="1">
        <f t="shared" si="35"/>
        <v>30601.71201868448</v>
      </c>
      <c r="G52" s="1">
        <f t="shared" si="30"/>
        <v>20202.340972725036</v>
      </c>
      <c r="H52" s="1">
        <f t="shared" si="30"/>
        <v>13336.985216024841</v>
      </c>
      <c r="I52" s="128"/>
      <c r="P52" s="1">
        <f t="shared" si="9"/>
        <v>15300.85600934224</v>
      </c>
      <c r="Q52" s="1">
        <f t="shared" si="31"/>
        <v>0</v>
      </c>
      <c r="R52" s="1">
        <f t="shared" si="32"/>
        <v>0</v>
      </c>
      <c r="S52" s="130"/>
      <c r="X52" s="1">
        <f t="shared" si="13"/>
        <v>30601.71201868448</v>
      </c>
      <c r="Y52" s="1">
        <f t="shared" si="33"/>
        <v>0</v>
      </c>
      <c r="Z52" s="1">
        <f t="shared" si="34"/>
        <v>0</v>
      </c>
      <c r="AA52" s="128"/>
      <c r="AB52" s="1"/>
    </row>
    <row r="53" spans="1:30">
      <c r="X53" s="1"/>
      <c r="Y53" s="1"/>
      <c r="Z53" s="1"/>
      <c r="AA53" s="1"/>
      <c r="AB53" s="1"/>
    </row>
    <row r="54" spans="1:30">
      <c r="J54" s="1">
        <f>SUM(J3:J42)</f>
        <v>973377.2552375996</v>
      </c>
      <c r="K54" s="1">
        <f t="shared" ref="K54:L54" si="36">SUM(K3:K42)</f>
        <v>379684.871363602</v>
      </c>
      <c r="L54" s="1">
        <f t="shared" si="36"/>
        <v>130580.89045480154</v>
      </c>
      <c r="S54" s="102">
        <v>25</v>
      </c>
      <c r="T54" s="1">
        <f>SUM(T3:T42)</f>
        <v>757151.35616224969</v>
      </c>
      <c r="U54" s="1">
        <f>SUM(U3:U42)</f>
        <v>315918.61033303727</v>
      </c>
      <c r="V54" s="1">
        <f>SUM(V3:V42)</f>
        <v>117979.06623841535</v>
      </c>
      <c r="X54" s="1"/>
      <c r="Y54" s="1"/>
      <c r="Z54" s="1"/>
      <c r="AA54" s="1"/>
      <c r="AB54" s="1">
        <f>2*T54</f>
        <v>1514302.7123244994</v>
      </c>
      <c r="AC54" s="1">
        <f t="shared" ref="AC54:AD54" si="37">2*U54</f>
        <v>631837.22066607454</v>
      </c>
      <c r="AD54" s="1">
        <f t="shared" si="37"/>
        <v>235958.13247683071</v>
      </c>
    </row>
    <row r="55" spans="1:30">
      <c r="S55" s="102"/>
      <c r="AB55" s="1"/>
    </row>
    <row r="56" spans="1:30">
      <c r="J56" s="106">
        <f>(J54-T54)/(AB54-T54)</f>
        <v>0.28557817048803508</v>
      </c>
      <c r="K56" s="106">
        <f t="shared" ref="K56:L56" si="38">(K54-U54)/(AC54-U54)</f>
        <v>0.20184395266661614</v>
      </c>
      <c r="L56" s="106">
        <f t="shared" si="38"/>
        <v>0.10681406980218061</v>
      </c>
      <c r="S56" s="102"/>
      <c r="AB56" s="1"/>
    </row>
    <row r="57" spans="1:30">
      <c r="S57" s="102"/>
    </row>
  </sheetData>
  <mergeCells count="19">
    <mergeCell ref="A1:D1"/>
    <mergeCell ref="S43:S52"/>
    <mergeCell ref="X1:Z1"/>
    <mergeCell ref="AA2:AA12"/>
    <mergeCell ref="AA13:AA22"/>
    <mergeCell ref="AA23:AA32"/>
    <mergeCell ref="AA33:AA42"/>
    <mergeCell ref="AA43:AA52"/>
    <mergeCell ref="P1:R1"/>
    <mergeCell ref="S2:S12"/>
    <mergeCell ref="S13:S22"/>
    <mergeCell ref="S23:S32"/>
    <mergeCell ref="S33:S42"/>
    <mergeCell ref="I43:I52"/>
    <mergeCell ref="F1:H1"/>
    <mergeCell ref="I2:I12"/>
    <mergeCell ref="I13:I22"/>
    <mergeCell ref="I23:I32"/>
    <mergeCell ref="I33:I4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rgb="FFFFC000"/>
  </sheetPr>
  <dimension ref="A1:O1058"/>
  <sheetViews>
    <sheetView workbookViewId="0">
      <selection activeCell="D10" sqref="D10"/>
    </sheetView>
  </sheetViews>
  <sheetFormatPr defaultRowHeight="15"/>
  <cols>
    <col min="1" max="1" width="14.28515625" bestFit="1" customWidth="1"/>
    <col min="2" max="2" width="13.140625" bestFit="1" customWidth="1"/>
    <col min="3" max="3" width="10.28515625" bestFit="1" customWidth="1"/>
    <col min="6" max="6" width="12.28515625" bestFit="1" customWidth="1"/>
    <col min="7" max="7" width="12.7109375" bestFit="1" customWidth="1"/>
    <col min="8" max="8" width="28.7109375" bestFit="1" customWidth="1"/>
    <col min="9" max="9" width="25.7109375" bestFit="1" customWidth="1"/>
    <col min="10" max="10" width="28.7109375" bestFit="1" customWidth="1"/>
    <col min="11" max="11" width="25.7109375" bestFit="1" customWidth="1"/>
    <col min="12" max="12" width="28.7109375" bestFit="1" customWidth="1"/>
    <col min="13" max="13" width="25.7109375" bestFit="1" customWidth="1"/>
    <col min="15" max="15" width="13.85546875" bestFit="1" customWidth="1"/>
  </cols>
  <sheetData>
    <row r="1" spans="1:15">
      <c r="A1" s="93" t="s">
        <v>89</v>
      </c>
      <c r="B1" s="93">
        <v>0.04</v>
      </c>
      <c r="K1" s="96" t="s">
        <v>102</v>
      </c>
      <c r="N1">
        <v>1.2466986794717887</v>
      </c>
      <c r="O1" s="93" t="s">
        <v>155</v>
      </c>
    </row>
    <row r="2" spans="1:15">
      <c r="A2" s="93" t="s">
        <v>154</v>
      </c>
      <c r="B2" s="93">
        <v>4.24E-2</v>
      </c>
      <c r="D2" s="135" t="s">
        <v>160</v>
      </c>
      <c r="E2" s="135"/>
      <c r="F2" s="135"/>
      <c r="G2" s="135"/>
      <c r="H2" s="135"/>
      <c r="I2" s="135"/>
      <c r="K2" s="96"/>
      <c r="N2">
        <v>1.1458834857968223</v>
      </c>
    </row>
    <row r="3" spans="1:15">
      <c r="D3" s="135"/>
      <c r="E3" s="135"/>
      <c r="F3" s="135"/>
      <c r="G3" s="135"/>
      <c r="H3" s="135"/>
      <c r="I3" s="135"/>
      <c r="K3" s="96"/>
      <c r="N3">
        <v>1.1151260504201681</v>
      </c>
    </row>
    <row r="4" spans="1:15">
      <c r="D4" s="135"/>
      <c r="E4" s="135"/>
      <c r="F4" s="135"/>
      <c r="G4" s="135"/>
      <c r="H4" s="135"/>
      <c r="I4" s="135"/>
      <c r="K4" s="96"/>
      <c r="N4">
        <v>0.94009042954031652</v>
      </c>
    </row>
    <row r="5" spans="1:15">
      <c r="D5" s="135"/>
      <c r="E5" s="135"/>
      <c r="F5" s="135"/>
      <c r="G5" s="135"/>
      <c r="H5" s="135"/>
      <c r="I5" s="135"/>
      <c r="K5" s="96"/>
      <c r="N5">
        <v>1.4729458917835672</v>
      </c>
    </row>
    <row r="6" spans="1:15">
      <c r="D6" s="135"/>
      <c r="E6" s="135"/>
      <c r="F6" s="135"/>
      <c r="G6" s="135"/>
      <c r="H6" s="135"/>
      <c r="I6" s="135"/>
      <c r="K6" s="96"/>
      <c r="N6">
        <v>1.228843537414966</v>
      </c>
    </row>
    <row r="7" spans="1:15">
      <c r="D7" s="135"/>
      <c r="E7" s="135"/>
      <c r="F7" s="135"/>
      <c r="G7" s="135"/>
      <c r="H7" s="135"/>
      <c r="I7" s="135"/>
      <c r="K7" s="96"/>
      <c r="N7">
        <v>1.0230292294065546</v>
      </c>
    </row>
    <row r="8" spans="1:15">
      <c r="D8" s="135"/>
      <c r="E8" s="135"/>
      <c r="F8" s="135"/>
      <c r="G8" s="135"/>
      <c r="H8" s="135"/>
      <c r="I8" s="135"/>
      <c r="K8" s="96"/>
      <c r="N8">
        <v>0.86558441558441557</v>
      </c>
    </row>
    <row r="9" spans="1:15">
      <c r="D9" s="135"/>
      <c r="E9" s="135"/>
      <c r="F9" s="135"/>
      <c r="G9" s="135"/>
      <c r="H9" s="135"/>
      <c r="I9" s="135"/>
      <c r="K9" s="96"/>
      <c r="N9">
        <v>1.3863465866466615</v>
      </c>
    </row>
    <row r="10" spans="1:15">
      <c r="K10" s="120"/>
      <c r="N10">
        <v>1.0806277056277056</v>
      </c>
    </row>
    <row r="11" spans="1:15">
      <c r="D11" s="141" t="s">
        <v>138</v>
      </c>
      <c r="E11" s="141" t="s">
        <v>2</v>
      </c>
      <c r="F11" s="141" t="s">
        <v>89</v>
      </c>
      <c r="G11" s="141" t="s">
        <v>139</v>
      </c>
      <c r="H11" s="141" t="s">
        <v>156</v>
      </c>
      <c r="I11" s="141" t="s">
        <v>159</v>
      </c>
      <c r="J11" s="141" t="s">
        <v>157</v>
      </c>
      <c r="K11" s="141" t="s">
        <v>159</v>
      </c>
      <c r="L11" s="141" t="s">
        <v>158</v>
      </c>
      <c r="M11" s="141" t="s">
        <v>159</v>
      </c>
      <c r="N11">
        <v>0.9609414121181773</v>
      </c>
    </row>
    <row r="12" spans="1:15">
      <c r="D12">
        <v>25</v>
      </c>
      <c r="E12">
        <v>50000</v>
      </c>
      <c r="F12">
        <f t="shared" ref="F12:F31" si="0">E12*$B$1</f>
        <v>2000</v>
      </c>
      <c r="G12">
        <f ca="1">INDEX($N$1:$N$68,RANDBETWEEN(1,68))</f>
        <v>1.0756818004219739</v>
      </c>
      <c r="H12">
        <f ca="1">PRODUCT(G13:$G$51)</f>
        <v>12.996661315728634</v>
      </c>
      <c r="I12">
        <f t="shared" ref="I12:I31" ca="1" si="1">F12*H12</f>
        <v>25993.322631457268</v>
      </c>
      <c r="J12">
        <f ca="1">PRODUCT($G13:$G41)</f>
        <v>5.2174256699709893</v>
      </c>
      <c r="K12">
        <f ca="1">F12*J12</f>
        <v>10434.851339941979</v>
      </c>
      <c r="L12">
        <f ca="1">PRODUCT($G13:$G41)</f>
        <v>5.2174256699709893</v>
      </c>
      <c r="M12">
        <f ca="1">F12*L12</f>
        <v>10434.851339941979</v>
      </c>
      <c r="N12">
        <v>1.2325864165363905</v>
      </c>
    </row>
    <row r="13" spans="1:15">
      <c r="D13">
        <v>26</v>
      </c>
      <c r="E13">
        <f>E12*(1+$B$2)</f>
        <v>52120</v>
      </c>
      <c r="F13">
        <f t="shared" si="0"/>
        <v>2084.8000000000002</v>
      </c>
      <c r="G13">
        <f ca="1">INDEX($N$1:$N$68,RANDBETWEEN(1,68))</f>
        <v>0.61512261580381467</v>
      </c>
      <c r="H13">
        <f ca="1">PRODUCT(G14:$G$51)</f>
        <v>21.128570112391621</v>
      </c>
      <c r="I13">
        <f t="shared" ca="1" si="1"/>
        <v>44048.842970314057</v>
      </c>
      <c r="J13">
        <f t="shared" ref="J13:J41" ca="1" si="2">PRODUCT($G14:$G42)</f>
        <v>10.93443691706293</v>
      </c>
      <c r="K13">
        <f t="shared" ref="K13:K41" ca="1" si="3">F13*J13</f>
        <v>22796.114084692799</v>
      </c>
      <c r="L13">
        <f t="shared" ref="L13:L31" ca="1" si="4">PRODUCT($G14:$G42)</f>
        <v>10.93443691706293</v>
      </c>
      <c r="M13">
        <f t="shared" ref="M13:M31" ca="1" si="5">F13*L13</f>
        <v>22796.114084692799</v>
      </c>
      <c r="N13">
        <v>0.88345546786922213</v>
      </c>
    </row>
    <row r="14" spans="1:15">
      <c r="D14">
        <v>27</v>
      </c>
      <c r="E14">
        <f t="shared" ref="E14:E51" si="6">E13*(1+$B$2)</f>
        <v>54329.887999999999</v>
      </c>
      <c r="F14">
        <f t="shared" si="0"/>
        <v>2173.1955200000002</v>
      </c>
      <c r="G14">
        <f ca="1">INDEX($N$1:$N$68,RANDBETWEEN(1,68))</f>
        <v>0.89978726222852567</v>
      </c>
      <c r="H14">
        <f ca="1">PRODUCT(G15:$G$51)</f>
        <v>23.481739517029794</v>
      </c>
      <c r="I14">
        <f t="shared" ca="1" si="1"/>
        <v>51030.411120216115</v>
      </c>
      <c r="J14">
        <f t="shared" ca="1" si="2"/>
        <v>11.986975868489822</v>
      </c>
      <c r="K14">
        <f t="shared" ca="1" si="3"/>
        <v>26050.042255750192</v>
      </c>
      <c r="L14">
        <f t="shared" ca="1" si="4"/>
        <v>11.986975868489822</v>
      </c>
      <c r="M14">
        <f t="shared" ca="1" si="5"/>
        <v>26050.042255750192</v>
      </c>
      <c r="N14">
        <v>1.2032222044983252</v>
      </c>
    </row>
    <row r="15" spans="1:15">
      <c r="D15">
        <v>28</v>
      </c>
      <c r="E15">
        <f t="shared" si="6"/>
        <v>56633.475251199998</v>
      </c>
      <c r="F15">
        <f t="shared" si="0"/>
        <v>2265.3390100480001</v>
      </c>
      <c r="G15">
        <f ca="1">INDEX($N$1:$N$68,RANDBETWEEN(1,68))</f>
        <v>1.1849360801237685</v>
      </c>
      <c r="H15">
        <f ca="1">PRODUCT(G16:$G$51)</f>
        <v>19.816882877409803</v>
      </c>
      <c r="I15">
        <f t="shared" ca="1" si="1"/>
        <v>44891.957839748684</v>
      </c>
      <c r="J15">
        <f t="shared" ca="1" si="2"/>
        <v>11.394153154113727</v>
      </c>
      <c r="K15">
        <f t="shared" ca="1" si="3"/>
        <v>25811.619626475287</v>
      </c>
      <c r="L15">
        <f t="shared" ca="1" si="4"/>
        <v>11.394153154113727</v>
      </c>
      <c r="M15">
        <f t="shared" ca="1" si="5"/>
        <v>25811.619626475287</v>
      </c>
      <c r="N15">
        <v>1.1166644571125546</v>
      </c>
    </row>
    <row r="16" spans="1:15">
      <c r="D16">
        <v>29</v>
      </c>
      <c r="E16">
        <f t="shared" si="6"/>
        <v>59034.734601850876</v>
      </c>
      <c r="F16">
        <f t="shared" si="0"/>
        <v>2361.3893840740352</v>
      </c>
      <c r="G16">
        <f ca="1">INDEX($N$1:$N$68,RANDBETWEEN(1,68))</f>
        <v>0.98639996562392573</v>
      </c>
      <c r="H16">
        <f ca="1">PRODUCT(G17:$G$51)</f>
        <v>20.090109051124159</v>
      </c>
      <c r="I16">
        <f t="shared" ca="1" si="1"/>
        <v>47440.570238214277</v>
      </c>
      <c r="J16">
        <f t="shared" ca="1" si="2"/>
        <v>14.891239610313908</v>
      </c>
      <c r="K16">
        <f t="shared" ca="1" si="3"/>
        <v>35164.015131498039</v>
      </c>
      <c r="L16">
        <f t="shared" ca="1" si="4"/>
        <v>14.891239610313908</v>
      </c>
      <c r="M16">
        <f t="shared" ca="1" si="5"/>
        <v>35164.015131498039</v>
      </c>
      <c r="N16">
        <v>1.0943844236020421</v>
      </c>
    </row>
    <row r="17" spans="4:14">
      <c r="D17">
        <v>30</v>
      </c>
      <c r="E17">
        <f t="shared" si="6"/>
        <v>61537.807348969356</v>
      </c>
      <c r="F17">
        <f t="shared" si="0"/>
        <v>2461.5122939587741</v>
      </c>
      <c r="G17">
        <f ca="1">INDEX($N$1:$N$68,RANDBETWEEN(1,68))</f>
        <v>1.0009859814609579</v>
      </c>
      <c r="H17">
        <f ca="1">PRODUCT(G18:$G$51)</f>
        <v>20.070320087602305</v>
      </c>
      <c r="I17">
        <f t="shared" ca="1" si="1"/>
        <v>49403.33963932081</v>
      </c>
      <c r="J17">
        <f t="shared" ca="1" si="2"/>
        <v>13.118743571310514</v>
      </c>
      <c r="K17">
        <f t="shared" ca="1" si="3"/>
        <v>32291.948582073463</v>
      </c>
      <c r="L17">
        <f t="shared" ca="1" si="4"/>
        <v>13.118743571310514</v>
      </c>
      <c r="M17">
        <f t="shared" ca="1" si="5"/>
        <v>32291.948582073463</v>
      </c>
      <c r="N17">
        <v>0.87198958559340412</v>
      </c>
    </row>
    <row r="18" spans="4:14">
      <c r="D18">
        <v>31</v>
      </c>
      <c r="E18">
        <f t="shared" si="6"/>
        <v>64147.010380565654</v>
      </c>
      <c r="F18">
        <f t="shared" si="0"/>
        <v>2565.8804152226262</v>
      </c>
      <c r="G18">
        <f ca="1">INDEX($N$1:$N$68,RANDBETWEEN(1,68))</f>
        <v>0.94009042954031652</v>
      </c>
      <c r="H18">
        <f ca="1">PRODUCT(G19:$G$51)</f>
        <v>21.349350506010627</v>
      </c>
      <c r="I18">
        <f t="shared" ca="1" si="1"/>
        <v>54779.88034109593</v>
      </c>
      <c r="J18">
        <f t="shared" ca="1" si="2"/>
        <v>14.918248617942258</v>
      </c>
      <c r="K18">
        <f t="shared" ca="1" si="3"/>
        <v>38278.441958200048</v>
      </c>
      <c r="L18">
        <f t="shared" ca="1" si="4"/>
        <v>14.918248617942258</v>
      </c>
      <c r="M18">
        <f t="shared" ca="1" si="5"/>
        <v>38278.441958200048</v>
      </c>
      <c r="N18">
        <v>1.1956954466285146</v>
      </c>
    </row>
    <row r="19" spans="4:14">
      <c r="D19">
        <v>32</v>
      </c>
      <c r="E19">
        <f t="shared" si="6"/>
        <v>66866.843620701635</v>
      </c>
      <c r="F19">
        <f t="shared" si="0"/>
        <v>2674.6737448280655</v>
      </c>
      <c r="G19">
        <f ca="1">INDEX($N$1:$N$68,RANDBETWEEN(1,68))</f>
        <v>1.1714370020655061</v>
      </c>
      <c r="H19">
        <f ca="1">PRODUCT(G20:$G$51)</f>
        <v>18.224924147322412</v>
      </c>
      <c r="I19">
        <f t="shared" ca="1" si="1"/>
        <v>48745.726118326274</v>
      </c>
      <c r="J19">
        <f t="shared" ca="1" si="2"/>
        <v>9.1562136965113741</v>
      </c>
      <c r="K19">
        <f t="shared" ca="1" si="3"/>
        <v>24489.884376094102</v>
      </c>
      <c r="L19">
        <f t="shared" ca="1" si="4"/>
        <v>9.1562136965113741</v>
      </c>
      <c r="M19">
        <f t="shared" ca="1" si="5"/>
        <v>24489.884376094102</v>
      </c>
      <c r="N19">
        <v>1.0813651024867341</v>
      </c>
    </row>
    <row r="20" spans="4:14">
      <c r="D20">
        <v>33</v>
      </c>
      <c r="E20">
        <f t="shared" si="6"/>
        <v>69701.997790219379</v>
      </c>
      <c r="F20">
        <f t="shared" si="0"/>
        <v>2788.0799116087751</v>
      </c>
      <c r="G20">
        <f ca="1">INDEX($N$1:$N$68,RANDBETWEEN(1,68))</f>
        <v>1.0717829821016165</v>
      </c>
      <c r="H20">
        <f ca="1">PRODUCT(G21:$G$51)</f>
        <v>17.004304464310383</v>
      </c>
      <c r="I20">
        <f t="shared" ca="1" si="1"/>
        <v>47409.359687823191</v>
      </c>
      <c r="J20">
        <f t="shared" ca="1" si="2"/>
        <v>10.182687464688218</v>
      </c>
      <c r="K20">
        <f t="shared" ca="1" si="3"/>
        <v>28390.146366487708</v>
      </c>
      <c r="L20">
        <f t="shared" ca="1" si="4"/>
        <v>10.182687464688218</v>
      </c>
      <c r="M20">
        <f t="shared" ca="1" si="5"/>
        <v>28390.146366487708</v>
      </c>
      <c r="N20">
        <v>0.89483306071394197</v>
      </c>
    </row>
    <row r="21" spans="4:14">
      <c r="D21">
        <v>34</v>
      </c>
      <c r="E21">
        <f t="shared" si="6"/>
        <v>72657.362496524685</v>
      </c>
      <c r="F21">
        <f t="shared" si="0"/>
        <v>2906.2944998609873</v>
      </c>
      <c r="G21">
        <f ca="1">INDEX($N$1:$N$68,RANDBETWEEN(1,68))</f>
        <v>0.88183917208394602</v>
      </c>
      <c r="H21">
        <f ca="1">PRODUCT(G22:$G$51)</f>
        <v>19.28277287130048</v>
      </c>
      <c r="I21">
        <f t="shared" ca="1" si="1"/>
        <v>56041.416737929241</v>
      </c>
      <c r="J21">
        <f t="shared" ca="1" si="2"/>
        <v>14.759209872939852</v>
      </c>
      <c r="K21">
        <f t="shared" ca="1" si="3"/>
        <v>42894.610476019072</v>
      </c>
      <c r="L21">
        <f t="shared" ca="1" si="4"/>
        <v>14.759209872939852</v>
      </c>
      <c r="M21">
        <f t="shared" ca="1" si="5"/>
        <v>42894.610476019072</v>
      </c>
      <c r="N21">
        <v>0.98010752688172054</v>
      </c>
    </row>
    <row r="22" spans="4:14">
      <c r="D22">
        <v>35</v>
      </c>
      <c r="E22">
        <f t="shared" si="6"/>
        <v>75738.034666377338</v>
      </c>
      <c r="F22">
        <f t="shared" si="0"/>
        <v>3029.5213866550935</v>
      </c>
      <c r="G22">
        <f ca="1">INDEX($N$1:$N$68,RANDBETWEEN(1,68))</f>
        <v>1.1151260504201681</v>
      </c>
      <c r="H22">
        <f ca="1">PRODUCT(G23:$G$51)</f>
        <v>17.292011843894169</v>
      </c>
      <c r="I22">
        <f t="shared" ca="1" si="1"/>
        <v>52386.519699370561</v>
      </c>
      <c r="J22">
        <f t="shared" ca="1" si="2"/>
        <v>17.292011843894169</v>
      </c>
      <c r="K22">
        <f t="shared" ca="1" si="3"/>
        <v>52386.519699370561</v>
      </c>
      <c r="L22">
        <f t="shared" ca="1" si="4"/>
        <v>17.292011843894169</v>
      </c>
      <c r="M22">
        <f t="shared" ca="1" si="5"/>
        <v>52386.519699370561</v>
      </c>
      <c r="N22">
        <v>1.1154141524958858</v>
      </c>
    </row>
    <row r="23" spans="4:14">
      <c r="D23">
        <v>36</v>
      </c>
      <c r="E23">
        <f t="shared" si="6"/>
        <v>78949.327336231741</v>
      </c>
      <c r="F23">
        <f t="shared" si="0"/>
        <v>3157.9730934492695</v>
      </c>
      <c r="G23">
        <f ca="1">INDEX($N$1:$N$68,RANDBETWEEN(1,68))</f>
        <v>1.0230292294065546</v>
      </c>
      <c r="H23">
        <f ca="1">PRODUCT(G24:$G$51)</f>
        <v>16.902754434421226</v>
      </c>
      <c r="I23">
        <f t="shared" ca="1" si="1"/>
        <v>53378.44370908256</v>
      </c>
      <c r="J23">
        <f t="shared" ca="1" si="2"/>
        <v>16.902754434421226</v>
      </c>
      <c r="K23">
        <f t="shared" ca="1" si="3"/>
        <v>53378.44370908256</v>
      </c>
      <c r="L23">
        <f t="shared" ca="1" si="4"/>
        <v>16.902754434421226</v>
      </c>
      <c r="M23">
        <f t="shared" ca="1" si="5"/>
        <v>53378.44370908256</v>
      </c>
      <c r="N23">
        <v>1.1714370020655061</v>
      </c>
    </row>
    <row r="24" spans="4:14">
      <c r="D24">
        <v>37</v>
      </c>
      <c r="E24">
        <f t="shared" si="6"/>
        <v>82296.778815287966</v>
      </c>
      <c r="F24">
        <f t="shared" si="0"/>
        <v>3291.8711526115185</v>
      </c>
      <c r="G24">
        <f ca="1">INDEX($N$1:$N$68,RANDBETWEEN(1,68))</f>
        <v>1.3229671239196212</v>
      </c>
      <c r="H24">
        <f ca="1">PRODUCT(G25:$G$51)</f>
        <v>12.776397938251549</v>
      </c>
      <c r="I24">
        <f t="shared" ca="1" si="1"/>
        <v>42058.255807215552</v>
      </c>
      <c r="J24">
        <f t="shared" ca="1" si="2"/>
        <v>12.776397938251549</v>
      </c>
      <c r="K24">
        <f t="shared" ca="1" si="3"/>
        <v>42058.255807215552</v>
      </c>
      <c r="L24">
        <f t="shared" ca="1" si="4"/>
        <v>12.776397938251549</v>
      </c>
      <c r="M24">
        <f t="shared" ca="1" si="5"/>
        <v>42058.255807215552</v>
      </c>
      <c r="N24">
        <v>0.82015113350125957</v>
      </c>
    </row>
    <row r="25" spans="4:14">
      <c r="D25">
        <v>38</v>
      </c>
      <c r="E25">
        <f t="shared" si="6"/>
        <v>85786.162237056182</v>
      </c>
      <c r="F25">
        <f t="shared" si="0"/>
        <v>3431.4464894822472</v>
      </c>
      <c r="G25">
        <f ca="1">INDEX($N$1:$N$68,RANDBETWEEN(1,68))</f>
        <v>1.2891452344931922</v>
      </c>
      <c r="H25">
        <f ca="1">PRODUCT(G26:$G$51)</f>
        <v>9.9107514005389721</v>
      </c>
      <c r="I25">
        <f t="shared" ca="1" si="1"/>
        <v>34008.213101510722</v>
      </c>
      <c r="J25">
        <f t="shared" ca="1" si="2"/>
        <v>9.9107514005389721</v>
      </c>
      <c r="K25">
        <f t="shared" ca="1" si="3"/>
        <v>34008.213101510722</v>
      </c>
      <c r="L25">
        <f t="shared" ca="1" si="4"/>
        <v>9.9107514005389721</v>
      </c>
      <c r="M25">
        <f t="shared" ca="1" si="5"/>
        <v>34008.213101510722</v>
      </c>
      <c r="N25">
        <v>0.71898034398034394</v>
      </c>
    </row>
    <row r="26" spans="4:14">
      <c r="D26">
        <v>39</v>
      </c>
      <c r="E26">
        <f t="shared" si="6"/>
        <v>89423.495515907358</v>
      </c>
      <c r="F26">
        <f t="shared" si="0"/>
        <v>3576.9398206362944</v>
      </c>
      <c r="G26">
        <f ca="1">INDEX($N$1:$N$68,RANDBETWEEN(1,68))</f>
        <v>1.036284060426373</v>
      </c>
      <c r="H26">
        <f ca="1">PRODUCT(G27:$G$51)</f>
        <v>9.5637400776590678</v>
      </c>
      <c r="I26">
        <f t="shared" ca="1" si="1"/>
        <v>34208.922717993963</v>
      </c>
      <c r="J26">
        <f t="shared" ca="1" si="2"/>
        <v>9.5637400776590678</v>
      </c>
      <c r="K26">
        <f t="shared" ca="1" si="3"/>
        <v>34208.922717993963</v>
      </c>
      <c r="L26">
        <f t="shared" ca="1" si="4"/>
        <v>9.5637400776590678</v>
      </c>
      <c r="M26">
        <f t="shared" ca="1" si="5"/>
        <v>34208.922717993963</v>
      </c>
      <c r="N26">
        <v>1.2943186672362239</v>
      </c>
    </row>
    <row r="27" spans="4:14">
      <c r="D27">
        <v>40</v>
      </c>
      <c r="E27">
        <f t="shared" si="6"/>
        <v>93215.051725781828</v>
      </c>
      <c r="F27">
        <f t="shared" si="0"/>
        <v>3728.602069031273</v>
      </c>
      <c r="G27">
        <f ca="1">INDEX($N$1:$N$68,RANDBETWEEN(1,68))</f>
        <v>1.4729458917835672</v>
      </c>
      <c r="H27">
        <f ca="1">PRODUCT(G28:$G$51)</f>
        <v>6.4929337397984659</v>
      </c>
      <c r="I27">
        <f t="shared" ca="1" si="1"/>
        <v>24209.566176295521</v>
      </c>
      <c r="J27">
        <f t="shared" ca="1" si="2"/>
        <v>6.4929337397984659</v>
      </c>
      <c r="K27">
        <f t="shared" ca="1" si="3"/>
        <v>24209.566176295521</v>
      </c>
      <c r="L27">
        <f t="shared" ca="1" si="4"/>
        <v>6.4929337397984659</v>
      </c>
      <c r="M27">
        <f t="shared" ca="1" si="5"/>
        <v>24209.566176295521</v>
      </c>
      <c r="N27">
        <v>1.1771177117711771</v>
      </c>
    </row>
    <row r="28" spans="4:14">
      <c r="D28">
        <v>41</v>
      </c>
      <c r="E28">
        <f t="shared" si="6"/>
        <v>97167.369918954981</v>
      </c>
      <c r="F28">
        <f t="shared" si="0"/>
        <v>3886.6947967581991</v>
      </c>
      <c r="G28">
        <f ca="1">INDEX($N$1:$N$68,RANDBETWEEN(1,68))</f>
        <v>1.1714370020655061</v>
      </c>
      <c r="H28">
        <f ca="1">PRODUCT(G29:$G$51)</f>
        <v>5.542708424225947</v>
      </c>
      <c r="I28">
        <f t="shared" ca="1" si="1"/>
        <v>21542.815992386826</v>
      </c>
      <c r="J28">
        <f t="shared" ca="1" si="2"/>
        <v>5.542708424225947</v>
      </c>
      <c r="K28">
        <f t="shared" ca="1" si="3"/>
        <v>21542.815992386826</v>
      </c>
      <c r="L28">
        <f t="shared" ca="1" si="4"/>
        <v>5.542708424225947</v>
      </c>
      <c r="M28">
        <f t="shared" ca="1" si="5"/>
        <v>21542.815992386826</v>
      </c>
      <c r="N28">
        <v>0.87682242990654202</v>
      </c>
    </row>
    <row r="29" spans="4:14">
      <c r="D29">
        <v>42</v>
      </c>
      <c r="E29">
        <f t="shared" si="6"/>
        <v>101287.26640351868</v>
      </c>
      <c r="F29">
        <f t="shared" si="0"/>
        <v>4051.490656140747</v>
      </c>
      <c r="G29">
        <f ca="1">INDEX($N$1:$N$68,RANDBETWEEN(1,68))</f>
        <v>1.069043134732877</v>
      </c>
      <c r="H29">
        <f ca="1">PRODUCT(G30:$G$51)</f>
        <v>5.1847378689830963</v>
      </c>
      <c r="I29">
        <f t="shared" ca="1" si="1"/>
        <v>21005.917030724104</v>
      </c>
      <c r="J29">
        <f t="shared" ca="1" si="2"/>
        <v>5.1847378689830963</v>
      </c>
      <c r="K29">
        <f t="shared" ca="1" si="3"/>
        <v>21005.917030724104</v>
      </c>
      <c r="L29">
        <f t="shared" ca="1" si="4"/>
        <v>5.1847378689830963</v>
      </c>
      <c r="M29">
        <f t="shared" ca="1" si="5"/>
        <v>21005.917030724104</v>
      </c>
      <c r="N29">
        <v>1.0310168407589002</v>
      </c>
    </row>
    <row r="30" spans="4:14">
      <c r="D30">
        <v>43</v>
      </c>
      <c r="E30">
        <f t="shared" si="6"/>
        <v>105581.84649902787</v>
      </c>
      <c r="F30">
        <f t="shared" si="0"/>
        <v>4223.2738599611148</v>
      </c>
      <c r="G30">
        <f ca="1">INDEX($N$1:$N$68,RANDBETWEEN(1,68))</f>
        <v>1.228843537414966</v>
      </c>
      <c r="H30">
        <f ca="1">PRODUCT(G31:$G$51)</f>
        <v>4.219200989484694</v>
      </c>
      <c r="I30">
        <f t="shared" ca="1" si="1"/>
        <v>17818.84124881278</v>
      </c>
      <c r="J30">
        <f t="shared" ca="1" si="2"/>
        <v>4.219200989484694</v>
      </c>
      <c r="K30">
        <f t="shared" ca="1" si="3"/>
        <v>17818.84124881278</v>
      </c>
      <c r="L30">
        <f t="shared" ca="1" si="4"/>
        <v>4.219200989484694</v>
      </c>
      <c r="M30">
        <f t="shared" ca="1" si="5"/>
        <v>17818.84124881278</v>
      </c>
      <c r="N30">
        <v>1.0933526310348392</v>
      </c>
    </row>
    <row r="31" spans="4:14">
      <c r="D31">
        <v>44</v>
      </c>
      <c r="E31">
        <f t="shared" si="6"/>
        <v>110058.51679058665</v>
      </c>
      <c r="F31">
        <f t="shared" si="0"/>
        <v>4402.3406716234667</v>
      </c>
      <c r="G31">
        <f ca="1">INDEX($N$1:$N$68,RANDBETWEEN(1,68))</f>
        <v>0.90024937655860338</v>
      </c>
      <c r="H31">
        <f ca="1">PRODUCT(G32:$G$51)</f>
        <v>4.6867024841644396</v>
      </c>
      <c r="I31">
        <f t="shared" ca="1" si="1"/>
        <v>20632.460961835848</v>
      </c>
      <c r="J31">
        <f t="shared" ca="1" si="2"/>
        <v>4.6867024841644396</v>
      </c>
      <c r="K31">
        <f t="shared" ca="1" si="3"/>
        <v>20632.460961835848</v>
      </c>
      <c r="L31">
        <f t="shared" ca="1" si="4"/>
        <v>4.6867024841644396</v>
      </c>
      <c r="M31">
        <f t="shared" ca="1" si="5"/>
        <v>20632.460961835848</v>
      </c>
      <c r="N31">
        <v>1.2891452344931922</v>
      </c>
    </row>
    <row r="32" spans="4:14">
      <c r="D32">
        <v>45</v>
      </c>
      <c r="E32">
        <f t="shared" si="6"/>
        <v>114724.99790250753</v>
      </c>
      <c r="F32">
        <f t="shared" ref="F32:F51" si="7">E32*$B$1</f>
        <v>4588.9999161003016</v>
      </c>
      <c r="G32">
        <f ca="1">INDEX($N$1:$N$68,RANDBETWEEN(1,68))</f>
        <v>1.0717829821016165</v>
      </c>
      <c r="H32">
        <f ca="1">PRODUCT(G33:$G$51)</f>
        <v>4.3728091996520329</v>
      </c>
      <c r="I32">
        <f t="shared" ref="I32:I51" ca="1" si="8">F32*H32</f>
        <v>20066.821050325805</v>
      </c>
      <c r="J32">
        <f t="shared" ca="1" si="2"/>
        <v>4.3728091996520329</v>
      </c>
      <c r="K32">
        <f t="shared" ca="1" si="3"/>
        <v>20066.821050325805</v>
      </c>
      <c r="N32">
        <v>0.90024937655860338</v>
      </c>
    </row>
    <row r="33" spans="4:14">
      <c r="D33">
        <v>46</v>
      </c>
      <c r="E33">
        <f t="shared" si="6"/>
        <v>119589.33781357385</v>
      </c>
      <c r="F33">
        <f t="shared" si="7"/>
        <v>4783.5735125429537</v>
      </c>
      <c r="G33">
        <f ca="1">INDEX($N$1:$N$68,RANDBETWEEN(1,68))</f>
        <v>1.1263343918340896</v>
      </c>
      <c r="H33">
        <f ca="1">PRODUCT(G34:$G$51)</f>
        <v>3.8823365701649939</v>
      </c>
      <c r="I33">
        <f t="shared" ca="1" si="8"/>
        <v>18571.442383818125</v>
      </c>
      <c r="J33">
        <f t="shared" ca="1" si="2"/>
        <v>3.8823365701649939</v>
      </c>
      <c r="K33">
        <f t="shared" ca="1" si="3"/>
        <v>18571.442383818125</v>
      </c>
      <c r="N33">
        <v>1.1270979305849764</v>
      </c>
    </row>
    <row r="34" spans="4:14">
      <c r="D34">
        <v>47</v>
      </c>
      <c r="E34">
        <f t="shared" si="6"/>
        <v>124659.92573686938</v>
      </c>
      <c r="F34">
        <f t="shared" si="7"/>
        <v>4986.3970294747751</v>
      </c>
      <c r="G34">
        <f ca="1">INDEX($N$1:$N$68,RANDBETWEEN(1,68))</f>
        <v>1.1873278236914599</v>
      </c>
      <c r="H34">
        <f ca="1">PRODUCT(G35:$G$51)</f>
        <v>3.2698101507422117</v>
      </c>
      <c r="I34">
        <f t="shared" ca="1" si="8"/>
        <v>16304.571622607431</v>
      </c>
      <c r="J34">
        <f t="shared" ca="1" si="2"/>
        <v>3.2698101507422117</v>
      </c>
      <c r="K34">
        <f t="shared" ca="1" si="3"/>
        <v>16304.571622607431</v>
      </c>
      <c r="N34">
        <v>1.1857741795576116</v>
      </c>
    </row>
    <row r="35" spans="4:14">
      <c r="D35">
        <v>48</v>
      </c>
      <c r="E35">
        <f t="shared" si="6"/>
        <v>129945.50658811264</v>
      </c>
      <c r="F35">
        <f t="shared" si="7"/>
        <v>5197.8202635245052</v>
      </c>
      <c r="G35">
        <f ca="1">INDEX($N$1:$N$68,RANDBETWEEN(1,68))</f>
        <v>1.2325864165363905</v>
      </c>
      <c r="H35">
        <f ca="1">PRODUCT(G36:$G$51)</f>
        <v>2.6528039794000713</v>
      </c>
      <c r="I35">
        <f t="shared" ca="1" si="8"/>
        <v>13788.798279284134</v>
      </c>
      <c r="J35">
        <f t="shared" ca="1" si="2"/>
        <v>2.6528039794000713</v>
      </c>
      <c r="K35">
        <f t="shared" ca="1" si="3"/>
        <v>13788.798279284134</v>
      </c>
      <c r="N35">
        <v>1.0081077785905876</v>
      </c>
    </row>
    <row r="36" spans="4:14">
      <c r="D36">
        <v>49</v>
      </c>
      <c r="E36">
        <f t="shared" si="6"/>
        <v>135455.19606744862</v>
      </c>
      <c r="F36">
        <f t="shared" si="7"/>
        <v>5418.2078426979451</v>
      </c>
      <c r="G36">
        <f ca="1">INDEX($N$1:$N$68,RANDBETWEEN(1,68))</f>
        <v>1.069043134732877</v>
      </c>
      <c r="H36">
        <f ca="1">PRODUCT(G37:$G$51)</f>
        <v>2.4814751558765966</v>
      </c>
      <c r="I36">
        <f t="shared" ca="1" si="8"/>
        <v>13445.148151030682</v>
      </c>
      <c r="J36">
        <f t="shared" ca="1" si="2"/>
        <v>2.4814751558765966</v>
      </c>
      <c r="K36">
        <f t="shared" ca="1" si="3"/>
        <v>13445.148151030682</v>
      </c>
      <c r="N36">
        <v>1.2674003749168532</v>
      </c>
    </row>
    <row r="37" spans="4:14">
      <c r="D37">
        <v>50</v>
      </c>
      <c r="E37">
        <f t="shared" si="6"/>
        <v>141198.49638070844</v>
      </c>
      <c r="F37">
        <f t="shared" si="7"/>
        <v>5647.9398552283374</v>
      </c>
      <c r="G37">
        <f ca="1">INDEX($N$1:$N$68,RANDBETWEEN(1,68))</f>
        <v>0.82015113350125957</v>
      </c>
      <c r="H37">
        <f ca="1">PRODUCT(G38:$G$51)</f>
        <v>3.0256315629085035</v>
      </c>
      <c r="I37">
        <f t="shared" ca="1" si="8"/>
        <v>17088.58509138774</v>
      </c>
      <c r="J37">
        <f t="shared" ca="1" si="2"/>
        <v>3.0256315629085035</v>
      </c>
      <c r="K37">
        <f t="shared" ca="1" si="3"/>
        <v>17088.58509138774</v>
      </c>
      <c r="N37">
        <v>1.1758671692351734</v>
      </c>
    </row>
    <row r="38" spans="4:14">
      <c r="D38">
        <v>51</v>
      </c>
      <c r="E38">
        <f t="shared" si="6"/>
        <v>147185.31262725047</v>
      </c>
      <c r="F38">
        <f t="shared" si="7"/>
        <v>5887.4125050900193</v>
      </c>
      <c r="G38">
        <f ca="1">INDEX($N$1:$N$68,RANDBETWEEN(1,68))</f>
        <v>1.0813651024867341</v>
      </c>
      <c r="H38">
        <f ca="1">PRODUCT(G39:$G$51)</f>
        <v>2.7979741124904867</v>
      </c>
      <c r="I38">
        <f t="shared" ca="1" si="8"/>
        <v>16472.827778794639</v>
      </c>
      <c r="J38">
        <f t="shared" ca="1" si="2"/>
        <v>2.7979741124904867</v>
      </c>
      <c r="K38">
        <f t="shared" ca="1" si="3"/>
        <v>16472.827778794639</v>
      </c>
      <c r="N38">
        <v>1.0385067965104484</v>
      </c>
    </row>
    <row r="39" spans="4:14">
      <c r="D39">
        <v>52</v>
      </c>
      <c r="E39">
        <f t="shared" si="6"/>
        <v>153425.96988264591</v>
      </c>
      <c r="F39">
        <f t="shared" si="7"/>
        <v>6137.0387953058362</v>
      </c>
      <c r="G39">
        <f ca="1">INDEX($N$1:$N$68,RANDBETWEEN(1,68))</f>
        <v>1.1857741795576116</v>
      </c>
      <c r="H39">
        <f ca="1">PRODUCT(G40:$G$51)</f>
        <v>2.3596180122039372</v>
      </c>
      <c r="I39">
        <f t="shared" ca="1" si="8"/>
        <v>14481.067282998003</v>
      </c>
      <c r="J39">
        <f t="shared" ca="1" si="2"/>
        <v>2.3596180122039372</v>
      </c>
      <c r="K39">
        <f t="shared" ca="1" si="3"/>
        <v>14481.067282998003</v>
      </c>
      <c r="N39">
        <v>1.0756818004219739</v>
      </c>
    </row>
    <row r="40" spans="4:14">
      <c r="D40">
        <v>53</v>
      </c>
      <c r="E40">
        <f t="shared" si="6"/>
        <v>159931.2310056701</v>
      </c>
      <c r="F40">
        <f t="shared" si="7"/>
        <v>6397.2492402268035</v>
      </c>
      <c r="G40">
        <f ca="1">INDEX($N$1:$N$68,RANDBETWEEN(1,68))</f>
        <v>0.78726389357998383</v>
      </c>
      <c r="H40">
        <f ca="1">PRODUCT(G41:$G$51)</f>
        <v>2.9972389581768697</v>
      </c>
      <c r="I40">
        <f t="shared" ca="1" si="8"/>
        <v>19174.084647975156</v>
      </c>
      <c r="J40">
        <f t="shared" ca="1" si="2"/>
        <v>2.9972389581768697</v>
      </c>
      <c r="K40">
        <f t="shared" ca="1" si="3"/>
        <v>19174.084647975156</v>
      </c>
      <c r="N40">
        <v>1.3064908648432676</v>
      </c>
    </row>
    <row r="41" spans="4:14">
      <c r="D41">
        <v>54</v>
      </c>
      <c r="E41">
        <f t="shared" si="6"/>
        <v>166712.31520031052</v>
      </c>
      <c r="F41">
        <f t="shared" si="7"/>
        <v>6668.4926080124205</v>
      </c>
      <c r="G41">
        <f ca="1">INDEX($N$1:$N$68,RANDBETWEEN(1,68))</f>
        <v>1.2032222044983252</v>
      </c>
      <c r="H41">
        <f ca="1">PRODUCT(G42:$G$51)</f>
        <v>2.4910103445327856</v>
      </c>
      <c r="I41">
        <f t="shared" ca="1" si="8"/>
        <v>16611.284068999354</v>
      </c>
      <c r="J41">
        <f t="shared" ca="1" si="2"/>
        <v>2.4910103445327856</v>
      </c>
      <c r="K41">
        <f t="shared" ca="1" si="3"/>
        <v>16611.284068999354</v>
      </c>
      <c r="N41">
        <v>0.90758708888209294</v>
      </c>
    </row>
    <row r="42" spans="4:14">
      <c r="D42">
        <v>55</v>
      </c>
      <c r="E42">
        <f t="shared" si="6"/>
        <v>173780.9173648037</v>
      </c>
      <c r="F42">
        <f t="shared" si="7"/>
        <v>6951.2366945921476</v>
      </c>
      <c r="G42">
        <f ca="1">INDEX($N$1:$N$68,RANDBETWEEN(1,68))</f>
        <v>1.2891452344931922</v>
      </c>
      <c r="H42">
        <f ca="1">PRODUCT(G43:$G$51)</f>
        <v>1.9322961276058923</v>
      </c>
      <c r="I42">
        <f t="shared" ca="1" si="8"/>
        <v>13431.847747032389</v>
      </c>
      <c r="N42">
        <v>1.2781742992801348</v>
      </c>
    </row>
    <row r="43" spans="4:14">
      <c r="D43">
        <v>56</v>
      </c>
      <c r="E43">
        <f t="shared" si="6"/>
        <v>181149.22826107137</v>
      </c>
      <c r="F43">
        <f t="shared" si="7"/>
        <v>7245.9691304428552</v>
      </c>
      <c r="G43">
        <f ca="1">INDEX($N$1:$N$68,RANDBETWEEN(1,68))</f>
        <v>0.98639996562392573</v>
      </c>
      <c r="H43">
        <f ca="1">PRODUCT(G44:$G$51)</f>
        <v>1.9589377483236843</v>
      </c>
      <c r="I43">
        <f t="shared" ca="1" si="8"/>
        <v>14194.402452812652</v>
      </c>
      <c r="N43">
        <v>1.0434261611465274</v>
      </c>
    </row>
    <row r="44" spans="4:14">
      <c r="D44">
        <v>57</v>
      </c>
      <c r="E44">
        <f t="shared" si="6"/>
        <v>188829.95553934079</v>
      </c>
      <c r="F44">
        <f t="shared" si="7"/>
        <v>7553.1982215736316</v>
      </c>
      <c r="G44">
        <f ca="1">INDEX($N$1:$N$68,RANDBETWEEN(1,68))</f>
        <v>1.1263343918340896</v>
      </c>
      <c r="H44">
        <f ca="1">PRODUCT(G45:$G$51)</f>
        <v>1.7392150701656264</v>
      </c>
      <c r="I44">
        <f t="shared" ca="1" si="8"/>
        <v>13136.636174909068</v>
      </c>
      <c r="N44">
        <v>1.069043134732877</v>
      </c>
    </row>
    <row r="45" spans="4:14">
      <c r="D45">
        <v>58</v>
      </c>
      <c r="E45">
        <f t="shared" si="6"/>
        <v>196836.34565420885</v>
      </c>
      <c r="F45">
        <f t="shared" si="7"/>
        <v>7873.4538261683547</v>
      </c>
      <c r="G45">
        <f ca="1">INDEX($N$1:$N$68,RANDBETWEEN(1,68))</f>
        <v>1.2891452344931922</v>
      </c>
      <c r="H45">
        <f ca="1">PRODUCT(G46:$G$51)</f>
        <v>1.349122677282651</v>
      </c>
      <c r="I45">
        <f t="shared" ca="1" si="8"/>
        <v>10622.255105421584</v>
      </c>
      <c r="N45">
        <v>0.98639996562392573</v>
      </c>
    </row>
    <row r="46" spans="4:14">
      <c r="D46">
        <v>59</v>
      </c>
      <c r="E46">
        <f t="shared" si="6"/>
        <v>205182.20670994732</v>
      </c>
      <c r="F46">
        <f t="shared" si="7"/>
        <v>8207.2882683978933</v>
      </c>
      <c r="G46">
        <f ca="1">INDEX($N$1:$N$68,RANDBETWEEN(1,68))</f>
        <v>0.88183917208394602</v>
      </c>
      <c r="H46">
        <f ca="1">PRODUCT(G47:$G$51)</f>
        <v>1.5298965162711351</v>
      </c>
      <c r="I46">
        <f t="shared" ca="1" si="8"/>
        <v>12556.301729854893</v>
      </c>
      <c r="N46">
        <v>1.3520289255298295</v>
      </c>
    </row>
    <row r="47" spans="4:14">
      <c r="D47">
        <v>60</v>
      </c>
      <c r="E47">
        <f t="shared" si="6"/>
        <v>213881.93227444909</v>
      </c>
      <c r="F47">
        <f t="shared" si="7"/>
        <v>8555.2772909779633</v>
      </c>
      <c r="G47">
        <f ca="1">INDEX($N$1:$N$68,RANDBETWEEN(1,68))</f>
        <v>1.069043134732877</v>
      </c>
      <c r="H47">
        <f ca="1">PRODUCT(G48:$G$51)</f>
        <v>1.431089603932036</v>
      </c>
      <c r="I47">
        <f t="shared" ca="1" si="8"/>
        <v>12243.368389874395</v>
      </c>
      <c r="N47">
        <v>1.1873278236914599</v>
      </c>
    </row>
    <row r="48" spans="4:14">
      <c r="D48">
        <v>61</v>
      </c>
      <c r="E48">
        <f t="shared" si="6"/>
        <v>222950.52620288573</v>
      </c>
      <c r="F48">
        <f t="shared" si="7"/>
        <v>8918.0210481154299</v>
      </c>
      <c r="G48">
        <f ca="1">INDEX($N$1:$N$68,RANDBETWEEN(1,68))</f>
        <v>0.71898034398034394</v>
      </c>
      <c r="H48">
        <f ca="1">PRODUCT(G49:$G$51)</f>
        <v>1.9904432936363556</v>
      </c>
      <c r="I48">
        <f t="shared" ca="1" si="8"/>
        <v>17750.815187729222</v>
      </c>
      <c r="N48">
        <v>1.3229671239196212</v>
      </c>
    </row>
    <row r="49" spans="4:14">
      <c r="D49">
        <v>62</v>
      </c>
      <c r="E49">
        <f t="shared" si="6"/>
        <v>232403.62851388808</v>
      </c>
      <c r="F49">
        <f t="shared" si="7"/>
        <v>9296.1451405555235</v>
      </c>
      <c r="G49">
        <f ca="1">INDEX($N$1:$N$68,RANDBETWEEN(1,68))</f>
        <v>1.1919371367304925</v>
      </c>
      <c r="H49">
        <f ca="1">PRODUCT(G50:$G$51)</f>
        <v>1.6699230456869409</v>
      </c>
      <c r="I49">
        <f t="shared" ca="1" si="8"/>
        <v>15523.847006264336</v>
      </c>
      <c r="N49">
        <v>1.2595380702330161</v>
      </c>
    </row>
    <row r="50" spans="4:14">
      <c r="D50">
        <v>63</v>
      </c>
      <c r="E50">
        <f t="shared" si="6"/>
        <v>242257.54236287693</v>
      </c>
      <c r="F50">
        <f t="shared" si="7"/>
        <v>9690.3016945150775</v>
      </c>
      <c r="G50">
        <f ca="1">INDEX($N$1:$N$68,RANDBETWEEN(1,68))</f>
        <v>1.2781742992801348</v>
      </c>
      <c r="H50">
        <f ca="1">PRODUCT(G51:$G$51)</f>
        <v>1.3064908648432676</v>
      </c>
      <c r="I50">
        <f t="shared" ca="1" si="8"/>
        <v>12660.290641459185</v>
      </c>
      <c r="N50">
        <v>1.1849360801237685</v>
      </c>
    </row>
    <row r="51" spans="4:14">
      <c r="D51">
        <v>64</v>
      </c>
      <c r="E51">
        <f t="shared" si="6"/>
        <v>252529.26215906293</v>
      </c>
      <c r="F51">
        <f t="shared" si="7"/>
        <v>10101.170486362518</v>
      </c>
      <c r="G51">
        <f ca="1">INDEX($N$1:$N$68,RANDBETWEEN(1,68))</f>
        <v>1.3064908648432676</v>
      </c>
      <c r="H51">
        <v>1</v>
      </c>
      <c r="I51">
        <f t="shared" si="8"/>
        <v>10101.170486362518</v>
      </c>
      <c r="N51">
        <v>0.88183917208394602</v>
      </c>
    </row>
    <row r="52" spans="4:14">
      <c r="N52">
        <v>0.89978726222852567</v>
      </c>
    </row>
    <row r="53" spans="4:14">
      <c r="H53" s="94" t="s">
        <v>93</v>
      </c>
      <c r="I53" s="121">
        <f ca="1">SUM(I12:$I$51)</f>
        <v>1089260.3490486154</v>
      </c>
      <c r="J53" s="1"/>
      <c r="K53" s="121">
        <f ca="1">SUM($K12:$K41)</f>
        <v>773856.26099968201</v>
      </c>
      <c r="L53" s="1"/>
      <c r="M53" s="121">
        <f ca="1">SUM($M12:M$31)</f>
        <v>607851.63064246101</v>
      </c>
      <c r="N53">
        <v>0.78726389357998383</v>
      </c>
    </row>
    <row r="54" spans="4:14">
      <c r="J54" s="93" t="s">
        <v>94</v>
      </c>
      <c r="N54">
        <v>1.2194097004499302</v>
      </c>
    </row>
    <row r="55" spans="4:14">
      <c r="J55" s="93" t="s">
        <v>95</v>
      </c>
      <c r="K55" s="104">
        <v>1126263.8720382438</v>
      </c>
      <c r="L55" s="104">
        <v>1126263.8720382438</v>
      </c>
      <c r="M55" s="104">
        <v>1126263.8720382438</v>
      </c>
      <c r="N55">
        <v>1.0717829821016165</v>
      </c>
    </row>
    <row r="56" spans="4:14">
      <c r="J56" s="93" t="s">
        <v>96</v>
      </c>
      <c r="K56" s="104">
        <v>888974.36661112204</v>
      </c>
      <c r="L56" s="104">
        <v>888974.36661112204</v>
      </c>
      <c r="M56" s="104">
        <v>888974.36661112204</v>
      </c>
      <c r="N56">
        <v>1.067968519843441</v>
      </c>
    </row>
    <row r="57" spans="4:14">
      <c r="K57">
        <f>K56/(1000)^0.5</f>
        <v>28111.837799966863</v>
      </c>
      <c r="L57" s="99"/>
      <c r="N57">
        <v>1.1164880201765448</v>
      </c>
    </row>
    <row r="58" spans="4:14">
      <c r="H58" s="93" t="s">
        <v>101</v>
      </c>
      <c r="I58" s="93"/>
      <c r="L58" s="99"/>
      <c r="N58">
        <v>1.036284060426373</v>
      </c>
    </row>
    <row r="59" spans="4:14">
      <c r="I59">
        <v>866446.97647721646</v>
      </c>
      <c r="L59" s="99"/>
      <c r="N59">
        <v>0.61512261580381467</v>
      </c>
    </row>
    <row r="60" spans="4:14">
      <c r="I60">
        <v>1450629.5545958064</v>
      </c>
      <c r="N60">
        <v>1.2365006190476189</v>
      </c>
    </row>
    <row r="61" spans="4:14">
      <c r="I61">
        <v>1823328.7570022508</v>
      </c>
      <c r="N61">
        <v>1.1263343918340896</v>
      </c>
    </row>
    <row r="62" spans="4:14">
      <c r="I62">
        <v>647472.83445310581</v>
      </c>
      <c r="N62">
        <v>1.0009859814609579</v>
      </c>
    </row>
    <row r="63" spans="4:14">
      <c r="I63">
        <v>658029.94397927728</v>
      </c>
      <c r="N63">
        <v>1.1329218165592896</v>
      </c>
    </row>
    <row r="64" spans="4:14">
      <c r="I64">
        <v>735780.24735278322</v>
      </c>
      <c r="N64">
        <v>1.2942595736622153</v>
      </c>
    </row>
    <row r="65" spans="9:14">
      <c r="I65">
        <v>1232347.5722280913</v>
      </c>
      <c r="N65">
        <v>1.1154149928657779</v>
      </c>
    </row>
    <row r="66" spans="9:14">
      <c r="I66">
        <v>465575.38258677576</v>
      </c>
      <c r="N66">
        <v>0.98994611103731056</v>
      </c>
    </row>
    <row r="67" spans="9:14">
      <c r="I67">
        <v>597221.36116295878</v>
      </c>
      <c r="N67">
        <v>1.1046855667400612</v>
      </c>
    </row>
    <row r="68" spans="9:14">
      <c r="I68">
        <v>1733359.1737082689</v>
      </c>
      <c r="N68">
        <v>1.1919371367304925</v>
      </c>
    </row>
    <row r="69" spans="9:14">
      <c r="I69">
        <v>790775.49495711888</v>
      </c>
    </row>
    <row r="70" spans="9:14">
      <c r="I70">
        <v>1328800.1487708769</v>
      </c>
    </row>
    <row r="71" spans="9:14">
      <c r="I71">
        <v>2046124.542812533</v>
      </c>
    </row>
    <row r="72" spans="9:14">
      <c r="I72">
        <v>483272.17771664326</v>
      </c>
    </row>
    <row r="73" spans="9:14">
      <c r="I73">
        <v>739873.97655252402</v>
      </c>
    </row>
    <row r="74" spans="9:14">
      <c r="I74">
        <v>690270.55748690479</v>
      </c>
    </row>
    <row r="75" spans="9:14">
      <c r="I75">
        <v>1104485.0247124517</v>
      </c>
    </row>
    <row r="76" spans="9:14">
      <c r="I76">
        <v>409411.68843047682</v>
      </c>
    </row>
    <row r="77" spans="9:14">
      <c r="I77">
        <v>1649010.5391119069</v>
      </c>
    </row>
    <row r="78" spans="9:14">
      <c r="I78">
        <v>917933.29325405834</v>
      </c>
    </row>
    <row r="79" spans="9:14">
      <c r="I79">
        <v>1676897.7456279993</v>
      </c>
    </row>
    <row r="80" spans="9:14">
      <c r="I80">
        <v>1135610.6868442516</v>
      </c>
    </row>
    <row r="81" spans="9:9">
      <c r="I81">
        <v>753869.83026506042</v>
      </c>
    </row>
    <row r="82" spans="9:9">
      <c r="I82">
        <v>492133.19015120243</v>
      </c>
    </row>
    <row r="83" spans="9:9">
      <c r="I83">
        <v>770100.54176371288</v>
      </c>
    </row>
    <row r="84" spans="9:9">
      <c r="I84">
        <v>1907417.2521871615</v>
      </c>
    </row>
    <row r="85" spans="9:9">
      <c r="I85">
        <v>1553089.9072870216</v>
      </c>
    </row>
    <row r="86" spans="9:9">
      <c r="I86">
        <v>576339.37863524305</v>
      </c>
    </row>
    <row r="87" spans="9:9">
      <c r="I87">
        <v>819865.63074132323</v>
      </c>
    </row>
    <row r="88" spans="9:9">
      <c r="I88">
        <v>1249242.354147539</v>
      </c>
    </row>
    <row r="89" spans="9:9">
      <c r="I89">
        <v>2220415.4967888063</v>
      </c>
    </row>
    <row r="90" spans="9:9">
      <c r="I90">
        <v>1252015.7916775444</v>
      </c>
    </row>
    <row r="91" spans="9:9">
      <c r="I91">
        <v>792950.7173823918</v>
      </c>
    </row>
    <row r="92" spans="9:9">
      <c r="I92">
        <v>786589.44034588488</v>
      </c>
    </row>
    <row r="93" spans="9:9">
      <c r="I93">
        <v>660899.27068847802</v>
      </c>
    </row>
    <row r="94" spans="9:9">
      <c r="I94">
        <v>1769821.9121797686</v>
      </c>
    </row>
    <row r="95" spans="9:9">
      <c r="I95">
        <v>1617356.4100947226</v>
      </c>
    </row>
    <row r="96" spans="9:9">
      <c r="I96">
        <v>478844.50512883131</v>
      </c>
    </row>
    <row r="97" spans="9:9">
      <c r="I97">
        <v>668104.02954557713</v>
      </c>
    </row>
    <row r="98" spans="9:9">
      <c r="I98">
        <v>632953.98355764803</v>
      </c>
    </row>
    <row r="99" spans="9:9">
      <c r="I99">
        <v>675934.78866205399</v>
      </c>
    </row>
    <row r="100" spans="9:9">
      <c r="I100">
        <v>462919.81070586131</v>
      </c>
    </row>
    <row r="101" spans="9:9">
      <c r="I101">
        <v>871330.95417617238</v>
      </c>
    </row>
    <row r="102" spans="9:9">
      <c r="I102">
        <v>1601585.2666324924</v>
      </c>
    </row>
    <row r="103" spans="9:9">
      <c r="I103">
        <v>1014598.3627650427</v>
      </c>
    </row>
    <row r="104" spans="9:9">
      <c r="I104">
        <v>2421189.7065199483</v>
      </c>
    </row>
    <row r="105" spans="9:9">
      <c r="I105">
        <v>1609548.9477534203</v>
      </c>
    </row>
    <row r="106" spans="9:9">
      <c r="I106">
        <v>797624.24380400812</v>
      </c>
    </row>
    <row r="107" spans="9:9">
      <c r="I107">
        <v>858759.37007014209</v>
      </c>
    </row>
    <row r="108" spans="9:9">
      <c r="I108">
        <v>746389.64417547686</v>
      </c>
    </row>
    <row r="109" spans="9:9">
      <c r="I109">
        <v>778477.7072074794</v>
      </c>
    </row>
    <row r="110" spans="9:9">
      <c r="I110">
        <v>247689.31769911677</v>
      </c>
    </row>
    <row r="111" spans="9:9">
      <c r="I111">
        <v>736961.91539869062</v>
      </c>
    </row>
    <row r="112" spans="9:9">
      <c r="I112">
        <v>1557778.1986964566</v>
      </c>
    </row>
    <row r="113" spans="9:9">
      <c r="I113">
        <v>1526351.8479181258</v>
      </c>
    </row>
    <row r="114" spans="9:9">
      <c r="I114">
        <v>4010212.6922558383</v>
      </c>
    </row>
    <row r="115" spans="9:9">
      <c r="I115">
        <v>2130974.1056957101</v>
      </c>
    </row>
    <row r="116" spans="9:9">
      <c r="I116">
        <v>510772.54704658169</v>
      </c>
    </row>
    <row r="117" spans="9:9">
      <c r="I117">
        <v>1310600.8029929574</v>
      </c>
    </row>
    <row r="118" spans="9:9">
      <c r="I118">
        <v>621594.29695233388</v>
      </c>
    </row>
    <row r="119" spans="9:9">
      <c r="I119">
        <v>2043243.8570562371</v>
      </c>
    </row>
    <row r="120" spans="9:9">
      <c r="I120">
        <v>1179164.1199808698</v>
      </c>
    </row>
    <row r="121" spans="9:9">
      <c r="I121">
        <v>1574590.3931241806</v>
      </c>
    </row>
    <row r="122" spans="9:9">
      <c r="I122">
        <v>255534.14579567037</v>
      </c>
    </row>
    <row r="123" spans="9:9">
      <c r="I123">
        <v>839523.90749426512</v>
      </c>
    </row>
    <row r="124" spans="9:9">
      <c r="I124">
        <v>669795.30956199171</v>
      </c>
    </row>
    <row r="125" spans="9:9">
      <c r="I125">
        <v>1485109.5943977812</v>
      </c>
    </row>
    <row r="126" spans="9:9">
      <c r="I126">
        <v>675720.88218745776</v>
      </c>
    </row>
    <row r="127" spans="9:9">
      <c r="I127">
        <v>321011.44780371612</v>
      </c>
    </row>
    <row r="128" spans="9:9">
      <c r="I128">
        <v>1098299.3003983267</v>
      </c>
    </row>
    <row r="129" spans="9:9">
      <c r="I129">
        <v>948373.38543558307</v>
      </c>
    </row>
    <row r="130" spans="9:9">
      <c r="I130">
        <v>932168.4410132519</v>
      </c>
    </row>
    <row r="131" spans="9:9">
      <c r="I131">
        <v>794364.51814401476</v>
      </c>
    </row>
    <row r="132" spans="9:9">
      <c r="I132">
        <v>936404.14222264709</v>
      </c>
    </row>
    <row r="133" spans="9:9">
      <c r="I133">
        <v>1643435.2364196393</v>
      </c>
    </row>
    <row r="134" spans="9:9">
      <c r="I134">
        <v>1736563.9916943868</v>
      </c>
    </row>
    <row r="135" spans="9:9">
      <c r="I135">
        <v>1665321.1006572738</v>
      </c>
    </row>
    <row r="136" spans="9:9">
      <c r="I136">
        <v>2483675.4911674964</v>
      </c>
    </row>
    <row r="137" spans="9:9">
      <c r="I137">
        <v>482619.34544530592</v>
      </c>
    </row>
    <row r="138" spans="9:9">
      <c r="I138">
        <v>508292.64162006788</v>
      </c>
    </row>
    <row r="139" spans="9:9">
      <c r="I139">
        <v>1311687.9349437121</v>
      </c>
    </row>
    <row r="140" spans="9:9">
      <c r="I140">
        <v>360531.19830786157</v>
      </c>
    </row>
    <row r="141" spans="9:9">
      <c r="I141">
        <v>981004.2865067384</v>
      </c>
    </row>
    <row r="142" spans="9:9">
      <c r="I142">
        <v>966998.91163890949</v>
      </c>
    </row>
    <row r="143" spans="9:9">
      <c r="I143">
        <v>687373.03330490377</v>
      </c>
    </row>
    <row r="144" spans="9:9">
      <c r="I144">
        <v>1851968.9944762667</v>
      </c>
    </row>
    <row r="145" spans="9:9">
      <c r="I145">
        <v>1324049.8049966982</v>
      </c>
    </row>
    <row r="146" spans="9:9">
      <c r="I146">
        <v>1704369.6802950732</v>
      </c>
    </row>
    <row r="147" spans="9:9">
      <c r="I147">
        <v>1674910.8060952781</v>
      </c>
    </row>
    <row r="148" spans="9:9">
      <c r="I148">
        <v>718653.68495369761</v>
      </c>
    </row>
    <row r="149" spans="9:9">
      <c r="I149">
        <v>1442990.4728286541</v>
      </c>
    </row>
    <row r="150" spans="9:9">
      <c r="I150">
        <v>770036.92789530358</v>
      </c>
    </row>
    <row r="151" spans="9:9">
      <c r="I151">
        <v>442291.72531273309</v>
      </c>
    </row>
    <row r="152" spans="9:9">
      <c r="I152">
        <v>284056.12393110513</v>
      </c>
    </row>
    <row r="153" spans="9:9">
      <c r="I153">
        <v>276761.12285831146</v>
      </c>
    </row>
    <row r="154" spans="9:9">
      <c r="I154">
        <v>1613274.5111354708</v>
      </c>
    </row>
    <row r="155" spans="9:9">
      <c r="I155">
        <v>559999.98209327902</v>
      </c>
    </row>
    <row r="156" spans="9:9">
      <c r="I156">
        <v>2440165.1307946872</v>
      </c>
    </row>
    <row r="157" spans="9:9">
      <c r="I157">
        <v>380487.38160839799</v>
      </c>
    </row>
    <row r="158" spans="9:9">
      <c r="I158">
        <v>2981132.6027485672</v>
      </c>
    </row>
    <row r="159" spans="9:9">
      <c r="I159">
        <v>486471.53741853806</v>
      </c>
    </row>
    <row r="160" spans="9:9">
      <c r="I160">
        <v>715142.48675988289</v>
      </c>
    </row>
    <row r="161" spans="9:9">
      <c r="I161">
        <v>838114.03600246098</v>
      </c>
    </row>
    <row r="162" spans="9:9">
      <c r="I162">
        <v>799535.33807708242</v>
      </c>
    </row>
    <row r="163" spans="9:9">
      <c r="I163">
        <v>901654.79301865841</v>
      </c>
    </row>
    <row r="164" spans="9:9">
      <c r="I164">
        <v>1011507.8304891429</v>
      </c>
    </row>
    <row r="165" spans="9:9">
      <c r="I165">
        <v>756520.51500559237</v>
      </c>
    </row>
    <row r="166" spans="9:9">
      <c r="I166">
        <v>9772452.3697646447</v>
      </c>
    </row>
    <row r="167" spans="9:9">
      <c r="I167">
        <v>387504.88984844164</v>
      </c>
    </row>
    <row r="168" spans="9:9">
      <c r="I168">
        <v>1945415.2511311031</v>
      </c>
    </row>
    <row r="169" spans="9:9">
      <c r="I169">
        <v>4165645.9704135875</v>
      </c>
    </row>
    <row r="170" spans="9:9">
      <c r="I170">
        <v>596423.46645551641</v>
      </c>
    </row>
    <row r="171" spans="9:9">
      <c r="I171">
        <v>466659.81132468773</v>
      </c>
    </row>
    <row r="172" spans="9:9">
      <c r="I172">
        <v>953853.22753530857</v>
      </c>
    </row>
    <row r="173" spans="9:9">
      <c r="I173">
        <v>729489.0136684574</v>
      </c>
    </row>
    <row r="174" spans="9:9">
      <c r="I174">
        <v>1489697.2493788635</v>
      </c>
    </row>
    <row r="175" spans="9:9">
      <c r="I175">
        <v>729234.7681055367</v>
      </c>
    </row>
    <row r="176" spans="9:9">
      <c r="I176">
        <v>833108.22585759906</v>
      </c>
    </row>
    <row r="177" spans="9:9">
      <c r="I177">
        <v>3446722.2511481214</v>
      </c>
    </row>
    <row r="178" spans="9:9">
      <c r="I178">
        <v>1298925.5844017689</v>
      </c>
    </row>
    <row r="179" spans="9:9">
      <c r="I179">
        <v>1218033.9167276099</v>
      </c>
    </row>
    <row r="180" spans="9:9">
      <c r="I180">
        <v>966405.31722438836</v>
      </c>
    </row>
    <row r="181" spans="9:9">
      <c r="I181">
        <v>373068.05024808471</v>
      </c>
    </row>
    <row r="182" spans="9:9">
      <c r="I182">
        <v>694663.05514071626</v>
      </c>
    </row>
    <row r="183" spans="9:9">
      <c r="I183">
        <v>603542.75410493102</v>
      </c>
    </row>
    <row r="184" spans="9:9">
      <c r="I184">
        <v>609556.60347344878</v>
      </c>
    </row>
    <row r="185" spans="9:9">
      <c r="I185">
        <v>1272974.1944741686</v>
      </c>
    </row>
    <row r="186" spans="9:9">
      <c r="I186">
        <v>1562116.5227532121</v>
      </c>
    </row>
    <row r="187" spans="9:9">
      <c r="I187">
        <v>2753686.5053552166</v>
      </c>
    </row>
    <row r="188" spans="9:9">
      <c r="I188">
        <v>455844.23056321807</v>
      </c>
    </row>
    <row r="189" spans="9:9">
      <c r="I189">
        <v>5477845.0740143321</v>
      </c>
    </row>
    <row r="190" spans="9:9">
      <c r="I190">
        <v>554991.76328194654</v>
      </c>
    </row>
    <row r="191" spans="9:9">
      <c r="I191">
        <v>1686312.2726669014</v>
      </c>
    </row>
    <row r="192" spans="9:9">
      <c r="I192">
        <v>123481.79406160965</v>
      </c>
    </row>
    <row r="193" spans="9:9">
      <c r="I193">
        <v>973743.90144815762</v>
      </c>
    </row>
    <row r="194" spans="9:9">
      <c r="I194">
        <v>650408.16234904516</v>
      </c>
    </row>
    <row r="195" spans="9:9">
      <c r="I195">
        <v>1237267.7167350717</v>
      </c>
    </row>
    <row r="196" spans="9:9">
      <c r="I196">
        <v>1433917.930941798</v>
      </c>
    </row>
    <row r="197" spans="9:9">
      <c r="I197">
        <v>623383.56386771321</v>
      </c>
    </row>
    <row r="198" spans="9:9">
      <c r="I198">
        <v>545455.26082696323</v>
      </c>
    </row>
    <row r="199" spans="9:9">
      <c r="I199">
        <v>1896492.8742811761</v>
      </c>
    </row>
    <row r="200" spans="9:9">
      <c r="I200">
        <v>272840.50834851357</v>
      </c>
    </row>
    <row r="201" spans="9:9">
      <c r="I201">
        <v>1186774.596380376</v>
      </c>
    </row>
    <row r="202" spans="9:9">
      <c r="I202">
        <v>892955.4679136062</v>
      </c>
    </row>
    <row r="203" spans="9:9">
      <c r="I203">
        <v>1419180.8584657689</v>
      </c>
    </row>
    <row r="204" spans="9:9">
      <c r="I204">
        <v>696202.49320854456</v>
      </c>
    </row>
    <row r="205" spans="9:9">
      <c r="I205">
        <v>1647194.7410106263</v>
      </c>
    </row>
    <row r="206" spans="9:9">
      <c r="I206">
        <v>465892.78746374807</v>
      </c>
    </row>
    <row r="207" spans="9:9">
      <c r="I207">
        <v>819285.31657952687</v>
      </c>
    </row>
    <row r="208" spans="9:9">
      <c r="I208">
        <v>1291116.8905144315</v>
      </c>
    </row>
    <row r="209" spans="9:9">
      <c r="I209">
        <v>1017975.5408875122</v>
      </c>
    </row>
    <row r="210" spans="9:9">
      <c r="I210">
        <v>530364.03560936975</v>
      </c>
    </row>
    <row r="211" spans="9:9">
      <c r="I211">
        <v>1235397.0040674268</v>
      </c>
    </row>
    <row r="212" spans="9:9">
      <c r="I212">
        <v>568256.43731720245</v>
      </c>
    </row>
    <row r="213" spans="9:9">
      <c r="I213">
        <v>1588492.8759538729</v>
      </c>
    </row>
    <row r="214" spans="9:9">
      <c r="I214">
        <v>671885.14289292181</v>
      </c>
    </row>
    <row r="215" spans="9:9">
      <c r="I215">
        <v>1168157.4879959861</v>
      </c>
    </row>
    <row r="216" spans="9:9">
      <c r="I216">
        <v>953950.71933631087</v>
      </c>
    </row>
    <row r="217" spans="9:9">
      <c r="I217">
        <v>698648.69164325495</v>
      </c>
    </row>
    <row r="218" spans="9:9">
      <c r="I218">
        <v>1869171.1653652093</v>
      </c>
    </row>
    <row r="219" spans="9:9">
      <c r="I219">
        <v>956709.62457276997</v>
      </c>
    </row>
    <row r="220" spans="9:9">
      <c r="I220">
        <v>388691.38216031017</v>
      </c>
    </row>
    <row r="221" spans="9:9">
      <c r="I221">
        <v>9556690.063059641</v>
      </c>
    </row>
    <row r="222" spans="9:9">
      <c r="I222">
        <v>678279.34596336843</v>
      </c>
    </row>
    <row r="223" spans="9:9">
      <c r="I223">
        <v>536400.86868898128</v>
      </c>
    </row>
    <row r="224" spans="9:9">
      <c r="I224">
        <v>1071712.4565040031</v>
      </c>
    </row>
    <row r="225" spans="9:9">
      <c r="I225">
        <v>772439.79474209703</v>
      </c>
    </row>
    <row r="226" spans="9:9">
      <c r="I226">
        <v>219241.91709050548</v>
      </c>
    </row>
    <row r="227" spans="9:9">
      <c r="I227">
        <v>3255477.3383174855</v>
      </c>
    </row>
    <row r="228" spans="9:9">
      <c r="I228">
        <v>1133704.8333276967</v>
      </c>
    </row>
    <row r="229" spans="9:9">
      <c r="I229">
        <v>1781651.0625019334</v>
      </c>
    </row>
    <row r="230" spans="9:9">
      <c r="I230">
        <v>435435.47156287183</v>
      </c>
    </row>
    <row r="231" spans="9:9">
      <c r="I231">
        <v>587455.71685276181</v>
      </c>
    </row>
    <row r="232" spans="9:9">
      <c r="I232">
        <v>1292490.2806717625</v>
      </c>
    </row>
    <row r="233" spans="9:9">
      <c r="I233">
        <v>1457701.9706117194</v>
      </c>
    </row>
    <row r="234" spans="9:9">
      <c r="I234">
        <v>4810841.7029203502</v>
      </c>
    </row>
    <row r="235" spans="9:9">
      <c r="I235">
        <v>1050485.5118645173</v>
      </c>
    </row>
    <row r="236" spans="9:9">
      <c r="I236">
        <v>737694.12569908926</v>
      </c>
    </row>
    <row r="237" spans="9:9">
      <c r="I237">
        <v>1357179.9633958696</v>
      </c>
    </row>
    <row r="238" spans="9:9">
      <c r="I238">
        <v>395242.46482544218</v>
      </c>
    </row>
    <row r="239" spans="9:9">
      <c r="I239">
        <v>704019.19607096165</v>
      </c>
    </row>
    <row r="240" spans="9:9">
      <c r="I240">
        <v>1080456.7397414632</v>
      </c>
    </row>
    <row r="241" spans="9:9">
      <c r="I241">
        <v>580721.11890458059</v>
      </c>
    </row>
    <row r="242" spans="9:9">
      <c r="I242">
        <v>1235278.4659475561</v>
      </c>
    </row>
    <row r="243" spans="9:9">
      <c r="I243">
        <v>450822.29469459149</v>
      </c>
    </row>
    <row r="244" spans="9:9">
      <c r="I244">
        <v>354581.64822044974</v>
      </c>
    </row>
    <row r="245" spans="9:9">
      <c r="I245">
        <v>1301705.5385800484</v>
      </c>
    </row>
    <row r="246" spans="9:9">
      <c r="I246">
        <v>572065.75885065761</v>
      </c>
    </row>
    <row r="247" spans="9:9">
      <c r="I247">
        <v>974099.27427161159</v>
      </c>
    </row>
    <row r="248" spans="9:9">
      <c r="I248">
        <v>1718605.4078844562</v>
      </c>
    </row>
    <row r="249" spans="9:9">
      <c r="I249">
        <v>1332523.4988203407</v>
      </c>
    </row>
    <row r="250" spans="9:9">
      <c r="I250">
        <v>592980.7241400599</v>
      </c>
    </row>
    <row r="251" spans="9:9">
      <c r="I251">
        <v>238399.40356982008</v>
      </c>
    </row>
    <row r="252" spans="9:9">
      <c r="I252">
        <v>2536247.9778921655</v>
      </c>
    </row>
    <row r="253" spans="9:9">
      <c r="I253">
        <v>563279.24873928982</v>
      </c>
    </row>
    <row r="254" spans="9:9">
      <c r="I254">
        <v>173532.07881402073</v>
      </c>
    </row>
    <row r="255" spans="9:9">
      <c r="I255">
        <v>483851.59798343747</v>
      </c>
    </row>
    <row r="256" spans="9:9">
      <c r="I256">
        <v>312938.93134121457</v>
      </c>
    </row>
    <row r="257" spans="9:9">
      <c r="I257">
        <v>470416.16187688266</v>
      </c>
    </row>
    <row r="258" spans="9:9">
      <c r="I258">
        <v>804528.3278884067</v>
      </c>
    </row>
    <row r="259" spans="9:9">
      <c r="I259">
        <v>1320334.84575013</v>
      </c>
    </row>
    <row r="260" spans="9:9">
      <c r="I260">
        <v>649831.69830426748</v>
      </c>
    </row>
    <row r="261" spans="9:9">
      <c r="I261">
        <v>855341.65177613986</v>
      </c>
    </row>
    <row r="262" spans="9:9">
      <c r="I262">
        <v>898317.87691205658</v>
      </c>
    </row>
    <row r="263" spans="9:9">
      <c r="I263">
        <v>844834.37863426202</v>
      </c>
    </row>
    <row r="264" spans="9:9">
      <c r="I264">
        <v>1241640.0584129426</v>
      </c>
    </row>
    <row r="265" spans="9:9">
      <c r="I265">
        <v>850016.9050137623</v>
      </c>
    </row>
    <row r="266" spans="9:9">
      <c r="I266">
        <v>1511051.2889785196</v>
      </c>
    </row>
    <row r="267" spans="9:9">
      <c r="I267">
        <v>1498894.0175389247</v>
      </c>
    </row>
    <row r="268" spans="9:9">
      <c r="I268">
        <v>1001945.2508312149</v>
      </c>
    </row>
    <row r="269" spans="9:9">
      <c r="I269">
        <v>312356.84985961393</v>
      </c>
    </row>
    <row r="270" spans="9:9">
      <c r="I270">
        <v>1482854.7705197199</v>
      </c>
    </row>
    <row r="271" spans="9:9">
      <c r="I271">
        <v>1494189.1296127748</v>
      </c>
    </row>
    <row r="272" spans="9:9">
      <c r="I272">
        <v>406533.14182630973</v>
      </c>
    </row>
    <row r="273" spans="9:9">
      <c r="I273">
        <v>1296611.5699321758</v>
      </c>
    </row>
    <row r="274" spans="9:9">
      <c r="I274">
        <v>1737863.1685768908</v>
      </c>
    </row>
    <row r="275" spans="9:9">
      <c r="I275">
        <v>270765.49111606181</v>
      </c>
    </row>
    <row r="276" spans="9:9">
      <c r="I276">
        <v>1639637.1699284113</v>
      </c>
    </row>
    <row r="277" spans="9:9">
      <c r="I277">
        <v>598686.77926566091</v>
      </c>
    </row>
    <row r="278" spans="9:9">
      <c r="I278">
        <v>499388.67821850779</v>
      </c>
    </row>
    <row r="279" spans="9:9">
      <c r="I279">
        <v>717257.72104169382</v>
      </c>
    </row>
    <row r="280" spans="9:9">
      <c r="I280">
        <v>686978.19624284573</v>
      </c>
    </row>
    <row r="281" spans="9:9">
      <c r="I281">
        <v>1219334.3753126781</v>
      </c>
    </row>
    <row r="282" spans="9:9">
      <c r="I282">
        <v>402845.74996303191</v>
      </c>
    </row>
    <row r="283" spans="9:9">
      <c r="I283">
        <v>279201.13642023579</v>
      </c>
    </row>
    <row r="284" spans="9:9">
      <c r="I284">
        <v>443062.16678832495</v>
      </c>
    </row>
    <row r="285" spans="9:9">
      <c r="I285">
        <v>1974974.3232246449</v>
      </c>
    </row>
    <row r="286" spans="9:9">
      <c r="I286">
        <v>1764695.1106607227</v>
      </c>
    </row>
    <row r="287" spans="9:9">
      <c r="I287">
        <v>1187456.5040957513</v>
      </c>
    </row>
    <row r="288" spans="9:9">
      <c r="I288">
        <v>738938.31199565192</v>
      </c>
    </row>
    <row r="289" spans="9:9">
      <c r="I289">
        <v>1086152.3892027983</v>
      </c>
    </row>
    <row r="290" spans="9:9">
      <c r="I290">
        <v>846886.74595035485</v>
      </c>
    </row>
    <row r="291" spans="9:9">
      <c r="I291">
        <v>818098.75304825767</v>
      </c>
    </row>
    <row r="292" spans="9:9">
      <c r="I292">
        <v>233577.28857426677</v>
      </c>
    </row>
    <row r="293" spans="9:9">
      <c r="I293">
        <v>601060.77052592719</v>
      </c>
    </row>
    <row r="294" spans="9:9">
      <c r="I294">
        <v>743454.32550893293</v>
      </c>
    </row>
    <row r="295" spans="9:9">
      <c r="I295">
        <v>1824977.414304391</v>
      </c>
    </row>
    <row r="296" spans="9:9">
      <c r="I296">
        <v>1220257.8749700051</v>
      </c>
    </row>
    <row r="297" spans="9:9">
      <c r="I297">
        <v>563019.60184083902</v>
      </c>
    </row>
    <row r="298" spans="9:9">
      <c r="I298">
        <v>2422557.0790526504</v>
      </c>
    </row>
    <row r="299" spans="9:9">
      <c r="I299">
        <v>275768.62048783927</v>
      </c>
    </row>
    <row r="300" spans="9:9">
      <c r="I300">
        <v>780089.60973392823</v>
      </c>
    </row>
    <row r="301" spans="9:9">
      <c r="I301">
        <v>2875243.7483807155</v>
      </c>
    </row>
    <row r="302" spans="9:9">
      <c r="I302">
        <v>1036279.1086516948</v>
      </c>
    </row>
    <row r="303" spans="9:9">
      <c r="I303">
        <v>1556343.697163136</v>
      </c>
    </row>
    <row r="304" spans="9:9">
      <c r="I304">
        <v>337735.7387334379</v>
      </c>
    </row>
    <row r="305" spans="9:9">
      <c r="I305">
        <v>2116690.9850069936</v>
      </c>
    </row>
    <row r="306" spans="9:9">
      <c r="I306">
        <v>229465.7156863359</v>
      </c>
    </row>
    <row r="307" spans="9:9">
      <c r="I307">
        <v>2442920.1042840662</v>
      </c>
    </row>
    <row r="308" spans="9:9">
      <c r="I308">
        <v>730408.20191708964</v>
      </c>
    </row>
    <row r="309" spans="9:9">
      <c r="I309">
        <v>401434.62620281457</v>
      </c>
    </row>
    <row r="310" spans="9:9">
      <c r="I310">
        <v>584268.38006402447</v>
      </c>
    </row>
    <row r="311" spans="9:9">
      <c r="I311">
        <v>443067.44987346075</v>
      </c>
    </row>
    <row r="312" spans="9:9">
      <c r="I312">
        <v>797043.2911572078</v>
      </c>
    </row>
    <row r="313" spans="9:9">
      <c r="I313">
        <v>4047032.7755934708</v>
      </c>
    </row>
    <row r="314" spans="9:9">
      <c r="I314">
        <v>809259.73094210785</v>
      </c>
    </row>
    <row r="315" spans="9:9">
      <c r="I315">
        <v>623363.32556838845</v>
      </c>
    </row>
    <row r="316" spans="9:9">
      <c r="I316">
        <v>1505061.7270276539</v>
      </c>
    </row>
    <row r="317" spans="9:9">
      <c r="I317">
        <v>2805765.0745334178</v>
      </c>
    </row>
    <row r="318" spans="9:9">
      <c r="I318">
        <v>749135.31211487367</v>
      </c>
    </row>
    <row r="319" spans="9:9">
      <c r="I319">
        <v>260034.66702316955</v>
      </c>
    </row>
    <row r="320" spans="9:9">
      <c r="I320">
        <v>655838.33370260184</v>
      </c>
    </row>
    <row r="321" spans="9:9">
      <c r="I321">
        <v>481405.32179687236</v>
      </c>
    </row>
    <row r="322" spans="9:9">
      <c r="I322">
        <v>3767768.9786156258</v>
      </c>
    </row>
    <row r="323" spans="9:9">
      <c r="I323">
        <v>1284547.7751575119</v>
      </c>
    </row>
    <row r="324" spans="9:9">
      <c r="I324">
        <v>2264943.4814444017</v>
      </c>
    </row>
    <row r="325" spans="9:9">
      <c r="I325">
        <v>1877368.3548714847</v>
      </c>
    </row>
    <row r="326" spans="9:9">
      <c r="I326">
        <v>869867.21818575752</v>
      </c>
    </row>
    <row r="327" spans="9:9">
      <c r="I327">
        <v>360469.93876082351</v>
      </c>
    </row>
    <row r="328" spans="9:9">
      <c r="I328">
        <v>2651571.1911584986</v>
      </c>
    </row>
    <row r="329" spans="9:9">
      <c r="I329">
        <v>221950.40894100961</v>
      </c>
    </row>
    <row r="330" spans="9:9">
      <c r="I330">
        <v>214593.50673479764</v>
      </c>
    </row>
    <row r="331" spans="9:9">
      <c r="I331">
        <v>813380.05621210381</v>
      </c>
    </row>
    <row r="332" spans="9:9">
      <c r="I332">
        <v>1420318.7868087562</v>
      </c>
    </row>
    <row r="333" spans="9:9">
      <c r="I333">
        <v>825800.07750550413</v>
      </c>
    </row>
    <row r="334" spans="9:9">
      <c r="I334">
        <v>998860.53844200913</v>
      </c>
    </row>
    <row r="335" spans="9:9">
      <c r="I335">
        <v>178283.04314343072</v>
      </c>
    </row>
    <row r="336" spans="9:9">
      <c r="I336">
        <v>944699.98691257671</v>
      </c>
    </row>
    <row r="337" spans="9:9">
      <c r="I337">
        <v>744678.77770343306</v>
      </c>
    </row>
    <row r="338" spans="9:9">
      <c r="I338">
        <v>1879502.5768187654</v>
      </c>
    </row>
    <row r="339" spans="9:9">
      <c r="I339">
        <v>813424.65892015479</v>
      </c>
    </row>
    <row r="340" spans="9:9">
      <c r="I340">
        <v>436320.02494978782</v>
      </c>
    </row>
    <row r="341" spans="9:9">
      <c r="I341">
        <v>692728.67993786465</v>
      </c>
    </row>
    <row r="342" spans="9:9">
      <c r="I342">
        <v>1633279.8771393197</v>
      </c>
    </row>
    <row r="343" spans="9:9">
      <c r="I343">
        <v>1536629.1918858818</v>
      </c>
    </row>
    <row r="344" spans="9:9">
      <c r="I344">
        <v>1222059.7600613637</v>
      </c>
    </row>
    <row r="345" spans="9:9">
      <c r="I345">
        <v>169179.58736806596</v>
      </c>
    </row>
    <row r="346" spans="9:9">
      <c r="I346">
        <v>1312171.437935902</v>
      </c>
    </row>
    <row r="347" spans="9:9">
      <c r="I347">
        <v>324245.43148832343</v>
      </c>
    </row>
    <row r="348" spans="9:9">
      <c r="I348">
        <v>1111719.9507378875</v>
      </c>
    </row>
    <row r="349" spans="9:9">
      <c r="I349">
        <v>1587251.421374653</v>
      </c>
    </row>
    <row r="350" spans="9:9">
      <c r="I350">
        <v>1168286.5173537305</v>
      </c>
    </row>
    <row r="351" spans="9:9">
      <c r="I351">
        <v>1785954.1676409445</v>
      </c>
    </row>
    <row r="352" spans="9:9">
      <c r="I352">
        <v>455561.60562301555</v>
      </c>
    </row>
    <row r="353" spans="9:9">
      <c r="I353">
        <v>999893.66173622967</v>
      </c>
    </row>
    <row r="354" spans="9:9">
      <c r="I354">
        <v>1347999.4598285039</v>
      </c>
    </row>
    <row r="355" spans="9:9">
      <c r="I355">
        <v>886718.43486552581</v>
      </c>
    </row>
    <row r="356" spans="9:9">
      <c r="I356">
        <v>1788252.2325191342</v>
      </c>
    </row>
    <row r="357" spans="9:9">
      <c r="I357">
        <v>660450.88839484926</v>
      </c>
    </row>
    <row r="358" spans="9:9">
      <c r="I358">
        <v>313149.90512395481</v>
      </c>
    </row>
    <row r="359" spans="9:9">
      <c r="I359">
        <v>616143.0225688963</v>
      </c>
    </row>
    <row r="360" spans="9:9">
      <c r="I360">
        <v>326116.1431834728</v>
      </c>
    </row>
    <row r="361" spans="9:9">
      <c r="I361">
        <v>923125.25872603303</v>
      </c>
    </row>
    <row r="362" spans="9:9">
      <c r="I362">
        <v>376603.24519038678</v>
      </c>
    </row>
    <row r="363" spans="9:9">
      <c r="I363">
        <v>1745744.8982846746</v>
      </c>
    </row>
    <row r="364" spans="9:9">
      <c r="I364">
        <v>2161759.8566471562</v>
      </c>
    </row>
    <row r="365" spans="9:9">
      <c r="I365">
        <v>646326.81236618257</v>
      </c>
    </row>
    <row r="366" spans="9:9">
      <c r="I366">
        <v>615316.52122693881</v>
      </c>
    </row>
    <row r="367" spans="9:9">
      <c r="I367">
        <v>201727.9402192712</v>
      </c>
    </row>
    <row r="368" spans="9:9">
      <c r="I368">
        <v>1165955.5014584716</v>
      </c>
    </row>
    <row r="369" spans="9:9">
      <c r="I369">
        <v>3392977.736837449</v>
      </c>
    </row>
    <row r="370" spans="9:9">
      <c r="I370">
        <v>2052439.7785946771</v>
      </c>
    </row>
    <row r="371" spans="9:9">
      <c r="I371">
        <v>747420.17112281546</v>
      </c>
    </row>
    <row r="372" spans="9:9">
      <c r="I372">
        <v>314384.65305943042</v>
      </c>
    </row>
    <row r="373" spans="9:9">
      <c r="I373">
        <v>574638.19516643614</v>
      </c>
    </row>
    <row r="374" spans="9:9">
      <c r="I374">
        <v>743033.03994178539</v>
      </c>
    </row>
    <row r="375" spans="9:9">
      <c r="I375">
        <v>712209.30753520667</v>
      </c>
    </row>
    <row r="376" spans="9:9">
      <c r="I376">
        <v>621056.01683631644</v>
      </c>
    </row>
    <row r="377" spans="9:9">
      <c r="I377">
        <v>509005.38396248757</v>
      </c>
    </row>
    <row r="378" spans="9:9">
      <c r="I378">
        <v>594294.97718637076</v>
      </c>
    </row>
    <row r="379" spans="9:9">
      <c r="I379">
        <v>552109.49108275888</v>
      </c>
    </row>
    <row r="380" spans="9:9">
      <c r="I380">
        <v>273647.20789278473</v>
      </c>
    </row>
    <row r="381" spans="9:9">
      <c r="I381">
        <v>1858167.8518539346</v>
      </c>
    </row>
    <row r="382" spans="9:9">
      <c r="I382">
        <v>1652385.7183556845</v>
      </c>
    </row>
    <row r="383" spans="9:9">
      <c r="I383">
        <v>988518.09809057042</v>
      </c>
    </row>
    <row r="384" spans="9:9">
      <c r="I384">
        <v>863222.44115749153</v>
      </c>
    </row>
    <row r="385" spans="9:9">
      <c r="I385">
        <v>933868.33213533531</v>
      </c>
    </row>
    <row r="386" spans="9:9">
      <c r="I386">
        <v>1651479.1106934648</v>
      </c>
    </row>
    <row r="387" spans="9:9">
      <c r="I387">
        <v>1768199.6834170646</v>
      </c>
    </row>
    <row r="388" spans="9:9">
      <c r="I388">
        <v>666132.51555031247</v>
      </c>
    </row>
    <row r="389" spans="9:9">
      <c r="I389">
        <v>705876.98463755508</v>
      </c>
    </row>
    <row r="390" spans="9:9">
      <c r="I390">
        <v>3059550.9494341025</v>
      </c>
    </row>
    <row r="391" spans="9:9">
      <c r="I391">
        <v>2929498.0249977317</v>
      </c>
    </row>
    <row r="392" spans="9:9">
      <c r="I392">
        <v>1053441.4824076155</v>
      </c>
    </row>
    <row r="393" spans="9:9">
      <c r="I393">
        <v>298209.99416426173</v>
      </c>
    </row>
    <row r="394" spans="9:9">
      <c r="I394">
        <v>1129655.8935290095</v>
      </c>
    </row>
    <row r="395" spans="9:9">
      <c r="I395">
        <v>947262.30463313707</v>
      </c>
    </row>
    <row r="396" spans="9:9">
      <c r="I396">
        <v>1321192.2344512029</v>
      </c>
    </row>
    <row r="397" spans="9:9">
      <c r="I397">
        <v>1089453.8840982094</v>
      </c>
    </row>
    <row r="398" spans="9:9">
      <c r="I398">
        <v>3770416.4353926764</v>
      </c>
    </row>
    <row r="399" spans="9:9">
      <c r="I399">
        <v>2210422.8138893503</v>
      </c>
    </row>
    <row r="400" spans="9:9">
      <c r="I400">
        <v>416222.99464025511</v>
      </c>
    </row>
    <row r="401" spans="9:9">
      <c r="I401">
        <v>892540.33986081579</v>
      </c>
    </row>
    <row r="402" spans="9:9">
      <c r="I402">
        <v>244656.0420413164</v>
      </c>
    </row>
    <row r="403" spans="9:9">
      <c r="I403">
        <v>471684.04013927496</v>
      </c>
    </row>
    <row r="404" spans="9:9">
      <c r="I404">
        <v>1544129.3173596759</v>
      </c>
    </row>
    <row r="405" spans="9:9">
      <c r="I405">
        <v>1248384.7424643536</v>
      </c>
    </row>
    <row r="406" spans="9:9">
      <c r="I406">
        <v>1443021.9055275824</v>
      </c>
    </row>
    <row r="407" spans="9:9">
      <c r="I407">
        <v>797503.21691992332</v>
      </c>
    </row>
    <row r="408" spans="9:9">
      <c r="I408">
        <v>1333963.9051380216</v>
      </c>
    </row>
    <row r="409" spans="9:9">
      <c r="I409">
        <v>1010201.881883382</v>
      </c>
    </row>
    <row r="410" spans="9:9">
      <c r="I410">
        <v>393709.20634337433</v>
      </c>
    </row>
    <row r="411" spans="9:9">
      <c r="I411">
        <v>482536.96020658349</v>
      </c>
    </row>
    <row r="412" spans="9:9">
      <c r="I412">
        <v>1455225.6678140399</v>
      </c>
    </row>
    <row r="413" spans="9:9">
      <c r="I413">
        <v>918311.14900458104</v>
      </c>
    </row>
    <row r="414" spans="9:9">
      <c r="I414">
        <v>492160.20606256707</v>
      </c>
    </row>
    <row r="415" spans="9:9">
      <c r="I415">
        <v>504226.13715706737</v>
      </c>
    </row>
    <row r="416" spans="9:9">
      <c r="I416">
        <v>289240.68966032431</v>
      </c>
    </row>
    <row r="417" spans="9:9">
      <c r="I417">
        <v>1303887.0230184603</v>
      </c>
    </row>
    <row r="418" spans="9:9">
      <c r="I418">
        <v>818239.35861654754</v>
      </c>
    </row>
    <row r="419" spans="9:9">
      <c r="I419">
        <v>3833211.8099347199</v>
      </c>
    </row>
    <row r="420" spans="9:9">
      <c r="I420">
        <v>943196.0949772842</v>
      </c>
    </row>
    <row r="421" spans="9:9">
      <c r="I421">
        <v>2801554.455894433</v>
      </c>
    </row>
    <row r="422" spans="9:9">
      <c r="I422">
        <v>787831.69545943826</v>
      </c>
    </row>
    <row r="423" spans="9:9">
      <c r="I423">
        <v>1897610.9225780522</v>
      </c>
    </row>
    <row r="424" spans="9:9">
      <c r="I424">
        <v>463765.31727113575</v>
      </c>
    </row>
    <row r="425" spans="9:9">
      <c r="I425">
        <v>831311.75700747722</v>
      </c>
    </row>
    <row r="426" spans="9:9">
      <c r="I426">
        <v>1438519.7655411253</v>
      </c>
    </row>
    <row r="427" spans="9:9">
      <c r="I427">
        <v>886621.97225159267</v>
      </c>
    </row>
    <row r="428" spans="9:9">
      <c r="I428">
        <v>1024529.3042252457</v>
      </c>
    </row>
    <row r="429" spans="9:9">
      <c r="I429">
        <v>772066.69966892281</v>
      </c>
    </row>
    <row r="430" spans="9:9">
      <c r="I430">
        <v>559225.97355011466</v>
      </c>
    </row>
    <row r="431" spans="9:9">
      <c r="I431">
        <v>1088659.4603559976</v>
      </c>
    </row>
    <row r="432" spans="9:9">
      <c r="I432">
        <v>593200.1804631328</v>
      </c>
    </row>
    <row r="433" spans="9:9">
      <c r="I433">
        <v>1128780.0912502836</v>
      </c>
    </row>
    <row r="434" spans="9:9">
      <c r="I434">
        <v>1412229.8788403689</v>
      </c>
    </row>
    <row r="435" spans="9:9">
      <c r="I435">
        <v>1390566.9757328762</v>
      </c>
    </row>
    <row r="436" spans="9:9">
      <c r="I436">
        <v>441229.09266247001</v>
      </c>
    </row>
    <row r="437" spans="9:9">
      <c r="I437">
        <v>420937.0466479577</v>
      </c>
    </row>
    <row r="438" spans="9:9">
      <c r="I438">
        <v>1250134.1928380064</v>
      </c>
    </row>
    <row r="439" spans="9:9">
      <c r="I439">
        <v>469053.77879049582</v>
      </c>
    </row>
    <row r="440" spans="9:9">
      <c r="I440">
        <v>492220.38652818196</v>
      </c>
    </row>
    <row r="441" spans="9:9">
      <c r="I441">
        <v>494951.46034555061</v>
      </c>
    </row>
    <row r="442" spans="9:9">
      <c r="I442">
        <v>1177819.9411740983</v>
      </c>
    </row>
    <row r="443" spans="9:9">
      <c r="I443">
        <v>351561.22738642461</v>
      </c>
    </row>
    <row r="444" spans="9:9">
      <c r="I444">
        <v>655525.77546059608</v>
      </c>
    </row>
    <row r="445" spans="9:9">
      <c r="I445">
        <v>695098.23839007737</v>
      </c>
    </row>
    <row r="446" spans="9:9">
      <c r="I446">
        <v>1733828.9074080996</v>
      </c>
    </row>
    <row r="447" spans="9:9">
      <c r="I447">
        <v>663797.79087895527</v>
      </c>
    </row>
    <row r="448" spans="9:9">
      <c r="I448">
        <v>1354312.4240456221</v>
      </c>
    </row>
    <row r="449" spans="9:9">
      <c r="I449">
        <v>722714.85714950715</v>
      </c>
    </row>
    <row r="450" spans="9:9">
      <c r="I450">
        <v>653809.26569941582</v>
      </c>
    </row>
    <row r="451" spans="9:9">
      <c r="I451">
        <v>1521321.3557103274</v>
      </c>
    </row>
    <row r="452" spans="9:9">
      <c r="I452">
        <v>469806.99578545609</v>
      </c>
    </row>
    <row r="453" spans="9:9">
      <c r="I453">
        <v>748425.13591717498</v>
      </c>
    </row>
    <row r="454" spans="9:9">
      <c r="I454">
        <v>191968.83659834455</v>
      </c>
    </row>
    <row r="455" spans="9:9">
      <c r="I455">
        <v>706029.55305476522</v>
      </c>
    </row>
    <row r="456" spans="9:9">
      <c r="I456">
        <v>705301.00171705906</v>
      </c>
    </row>
    <row r="457" spans="9:9">
      <c r="I457">
        <v>400082.88810741733</v>
      </c>
    </row>
    <row r="458" spans="9:9">
      <c r="I458">
        <v>1548448.8631409698</v>
      </c>
    </row>
    <row r="459" spans="9:9">
      <c r="I459">
        <v>6458497.7705837758</v>
      </c>
    </row>
    <row r="460" spans="9:9">
      <c r="I460">
        <v>1629286.2829428266</v>
      </c>
    </row>
    <row r="461" spans="9:9">
      <c r="I461">
        <v>1060948.1364471365</v>
      </c>
    </row>
    <row r="462" spans="9:9">
      <c r="I462">
        <v>1424266.3213660917</v>
      </c>
    </row>
    <row r="463" spans="9:9">
      <c r="I463">
        <v>2763219.2541416688</v>
      </c>
    </row>
    <row r="464" spans="9:9">
      <c r="I464">
        <v>309707.37227056513</v>
      </c>
    </row>
    <row r="465" spans="9:9">
      <c r="I465">
        <v>408935.60161904781</v>
      </c>
    </row>
    <row r="466" spans="9:9">
      <c r="I466">
        <v>447201.3979625862</v>
      </c>
    </row>
    <row r="467" spans="9:9">
      <c r="I467">
        <v>337570.74578976614</v>
      </c>
    </row>
    <row r="468" spans="9:9">
      <c r="I468">
        <v>1568748.1454884084</v>
      </c>
    </row>
    <row r="469" spans="9:9">
      <c r="I469">
        <v>1592386.4459890397</v>
      </c>
    </row>
    <row r="470" spans="9:9">
      <c r="I470">
        <v>922210.40400069836</v>
      </c>
    </row>
    <row r="471" spans="9:9">
      <c r="I471">
        <v>1560974.4586736057</v>
      </c>
    </row>
    <row r="472" spans="9:9">
      <c r="I472">
        <v>689128.48255128297</v>
      </c>
    </row>
    <row r="473" spans="9:9">
      <c r="I473">
        <v>2186734.376583003</v>
      </c>
    </row>
    <row r="474" spans="9:9">
      <c r="I474">
        <v>1176401.6926612204</v>
      </c>
    </row>
    <row r="475" spans="9:9">
      <c r="I475">
        <v>335593.97319576662</v>
      </c>
    </row>
    <row r="476" spans="9:9">
      <c r="I476">
        <v>584290.56778591929</v>
      </c>
    </row>
    <row r="477" spans="9:9">
      <c r="I477">
        <v>799957.74028544268</v>
      </c>
    </row>
    <row r="478" spans="9:9">
      <c r="I478">
        <v>944539.89344692207</v>
      </c>
    </row>
    <row r="479" spans="9:9">
      <c r="I479">
        <v>719501.87972354144</v>
      </c>
    </row>
    <row r="480" spans="9:9">
      <c r="I480">
        <v>2448562.5606590118</v>
      </c>
    </row>
    <row r="481" spans="9:9">
      <c r="I481">
        <v>1123051.2807238321</v>
      </c>
    </row>
    <row r="482" spans="9:9">
      <c r="I482">
        <v>954713.6733868958</v>
      </c>
    </row>
    <row r="483" spans="9:9">
      <c r="I483">
        <v>794883.75089573825</v>
      </c>
    </row>
    <row r="484" spans="9:9">
      <c r="I484">
        <v>1456463.8150571466</v>
      </c>
    </row>
    <row r="485" spans="9:9">
      <c r="I485">
        <v>1356556.7386682276</v>
      </c>
    </row>
    <row r="486" spans="9:9">
      <c r="I486">
        <v>1947356.9266219577</v>
      </c>
    </row>
    <row r="487" spans="9:9">
      <c r="I487">
        <v>1065333.3855913456</v>
      </c>
    </row>
    <row r="488" spans="9:9">
      <c r="I488">
        <v>670409.43250590737</v>
      </c>
    </row>
    <row r="489" spans="9:9">
      <c r="I489">
        <v>698615.25617777766</v>
      </c>
    </row>
    <row r="490" spans="9:9">
      <c r="I490">
        <v>1272519.4501409491</v>
      </c>
    </row>
    <row r="491" spans="9:9">
      <c r="I491">
        <v>1139155.7409558722</v>
      </c>
    </row>
    <row r="492" spans="9:9">
      <c r="I492">
        <v>1162867.3033229532</v>
      </c>
    </row>
    <row r="493" spans="9:9">
      <c r="I493">
        <v>997989.53771600884</v>
      </c>
    </row>
    <row r="494" spans="9:9">
      <c r="I494">
        <v>3312919.6343823164</v>
      </c>
    </row>
    <row r="495" spans="9:9">
      <c r="I495">
        <v>811914.98156994721</v>
      </c>
    </row>
    <row r="496" spans="9:9">
      <c r="I496">
        <v>1093974.2976773488</v>
      </c>
    </row>
    <row r="497" spans="9:9">
      <c r="I497">
        <v>957377.04645087931</v>
      </c>
    </row>
    <row r="498" spans="9:9">
      <c r="I498">
        <v>361103.58624340937</v>
      </c>
    </row>
    <row r="499" spans="9:9">
      <c r="I499">
        <v>1079501.8525670047</v>
      </c>
    </row>
    <row r="500" spans="9:9">
      <c r="I500">
        <v>717895.6813212767</v>
      </c>
    </row>
    <row r="501" spans="9:9">
      <c r="I501">
        <v>540212.28519748733</v>
      </c>
    </row>
    <row r="502" spans="9:9">
      <c r="I502">
        <v>1944310.7625328833</v>
      </c>
    </row>
    <row r="503" spans="9:9">
      <c r="I503">
        <v>266889.49558604549</v>
      </c>
    </row>
    <row r="504" spans="9:9">
      <c r="I504">
        <v>1393118.7100064433</v>
      </c>
    </row>
    <row r="505" spans="9:9">
      <c r="I505">
        <v>875780.3526097117</v>
      </c>
    </row>
    <row r="506" spans="9:9">
      <c r="I506">
        <v>525573.50670848927</v>
      </c>
    </row>
    <row r="507" spans="9:9">
      <c r="I507">
        <v>276906.61097783747</v>
      </c>
    </row>
    <row r="508" spans="9:9">
      <c r="I508">
        <v>564366.60770895286</v>
      </c>
    </row>
    <row r="509" spans="9:9">
      <c r="I509">
        <v>2818838.9775417168</v>
      </c>
    </row>
    <row r="510" spans="9:9">
      <c r="I510">
        <v>1733653.6561180537</v>
      </c>
    </row>
    <row r="511" spans="9:9">
      <c r="I511">
        <v>877283.18069207855</v>
      </c>
    </row>
    <row r="512" spans="9:9">
      <c r="I512">
        <v>611933.79423070815</v>
      </c>
    </row>
    <row r="513" spans="9:9">
      <c r="I513">
        <v>814487.14799598779</v>
      </c>
    </row>
    <row r="514" spans="9:9">
      <c r="I514">
        <v>620642.70952053403</v>
      </c>
    </row>
    <row r="515" spans="9:9">
      <c r="I515">
        <v>758478.65838139434</v>
      </c>
    </row>
    <row r="516" spans="9:9">
      <c r="I516">
        <v>2341835.8794143242</v>
      </c>
    </row>
    <row r="517" spans="9:9">
      <c r="I517">
        <v>1459165.8671803672</v>
      </c>
    </row>
    <row r="518" spans="9:9">
      <c r="I518">
        <v>313293.81243614509</v>
      </c>
    </row>
    <row r="519" spans="9:9">
      <c r="I519">
        <v>466747.59665023407</v>
      </c>
    </row>
    <row r="520" spans="9:9">
      <c r="I520">
        <v>1903810.1411515141</v>
      </c>
    </row>
    <row r="521" spans="9:9">
      <c r="I521">
        <v>1870984.4772861758</v>
      </c>
    </row>
    <row r="522" spans="9:9">
      <c r="I522">
        <v>530144.22829430935</v>
      </c>
    </row>
    <row r="523" spans="9:9">
      <c r="I523">
        <v>2503418.8577947267</v>
      </c>
    </row>
    <row r="524" spans="9:9">
      <c r="I524">
        <v>1648934.7143610895</v>
      </c>
    </row>
    <row r="525" spans="9:9">
      <c r="I525">
        <v>1448871.1516199254</v>
      </c>
    </row>
    <row r="526" spans="9:9">
      <c r="I526">
        <v>479732.16950151901</v>
      </c>
    </row>
    <row r="527" spans="9:9">
      <c r="I527">
        <v>1190312.70952591</v>
      </c>
    </row>
    <row r="528" spans="9:9">
      <c r="I528">
        <v>1104548.1930573501</v>
      </c>
    </row>
    <row r="529" spans="9:9">
      <c r="I529">
        <v>884828.69336961105</v>
      </c>
    </row>
    <row r="530" spans="9:9">
      <c r="I530">
        <v>3680079.7253767615</v>
      </c>
    </row>
    <row r="531" spans="9:9">
      <c r="I531">
        <v>2386449.7192976931</v>
      </c>
    </row>
    <row r="532" spans="9:9">
      <c r="I532">
        <v>641852.7448453136</v>
      </c>
    </row>
    <row r="533" spans="9:9">
      <c r="I533">
        <v>778855.01028663456</v>
      </c>
    </row>
    <row r="534" spans="9:9">
      <c r="I534">
        <v>713011.68446019606</v>
      </c>
    </row>
    <row r="535" spans="9:9">
      <c r="I535">
        <v>1435813.9416184826</v>
      </c>
    </row>
    <row r="536" spans="9:9">
      <c r="I536">
        <v>930934.20519568655</v>
      </c>
    </row>
    <row r="537" spans="9:9">
      <c r="I537">
        <v>1764821.6679868537</v>
      </c>
    </row>
    <row r="538" spans="9:9">
      <c r="I538">
        <v>2042996.1552247505</v>
      </c>
    </row>
    <row r="539" spans="9:9">
      <c r="I539">
        <v>831914.07075433491</v>
      </c>
    </row>
    <row r="540" spans="9:9">
      <c r="I540">
        <v>1570527.587188923</v>
      </c>
    </row>
    <row r="541" spans="9:9">
      <c r="I541">
        <v>869922.84427929274</v>
      </c>
    </row>
    <row r="542" spans="9:9">
      <c r="I542">
        <v>658351.7246417444</v>
      </c>
    </row>
    <row r="543" spans="9:9">
      <c r="I543">
        <v>4623729.6076921839</v>
      </c>
    </row>
    <row r="544" spans="9:9">
      <c r="I544">
        <v>573906.27116519306</v>
      </c>
    </row>
    <row r="545" spans="9:9">
      <c r="I545">
        <v>249497.2811843114</v>
      </c>
    </row>
    <row r="546" spans="9:9">
      <c r="I546">
        <v>577250.65468076628</v>
      </c>
    </row>
    <row r="547" spans="9:9">
      <c r="I547">
        <v>501746.82796528441</v>
      </c>
    </row>
    <row r="548" spans="9:9">
      <c r="I548">
        <v>2467696.8769598575</v>
      </c>
    </row>
    <row r="549" spans="9:9">
      <c r="I549">
        <v>1611937.0631320188</v>
      </c>
    </row>
    <row r="550" spans="9:9">
      <c r="I550">
        <v>1935930.2618732073</v>
      </c>
    </row>
    <row r="551" spans="9:9">
      <c r="I551">
        <v>1412289.0480163775</v>
      </c>
    </row>
    <row r="552" spans="9:9">
      <c r="I552">
        <v>941486.0730794156</v>
      </c>
    </row>
    <row r="553" spans="9:9">
      <c r="I553">
        <v>2750950.0385860428</v>
      </c>
    </row>
    <row r="554" spans="9:9">
      <c r="I554">
        <v>463860.55883012956</v>
      </c>
    </row>
    <row r="555" spans="9:9">
      <c r="I555">
        <v>360221.57113975921</v>
      </c>
    </row>
    <row r="556" spans="9:9">
      <c r="I556">
        <v>1514547.6653935493</v>
      </c>
    </row>
    <row r="557" spans="9:9">
      <c r="I557">
        <v>808686.13862240023</v>
      </c>
    </row>
    <row r="558" spans="9:9">
      <c r="I558">
        <v>959001.57164237916</v>
      </c>
    </row>
    <row r="559" spans="9:9">
      <c r="I559">
        <v>354111.89189431386</v>
      </c>
    </row>
    <row r="560" spans="9:9">
      <c r="I560">
        <v>478657.5977674711</v>
      </c>
    </row>
    <row r="561" spans="9:9">
      <c r="I561">
        <v>1235034.3352344867</v>
      </c>
    </row>
    <row r="562" spans="9:9">
      <c r="I562">
        <v>324579.64113832841</v>
      </c>
    </row>
    <row r="563" spans="9:9">
      <c r="I563">
        <v>930898.00656212284</v>
      </c>
    </row>
    <row r="564" spans="9:9">
      <c r="I564">
        <v>826169.49658451614</v>
      </c>
    </row>
    <row r="565" spans="9:9">
      <c r="I565">
        <v>1006855.690135786</v>
      </c>
    </row>
    <row r="566" spans="9:9">
      <c r="I566">
        <v>1734938.7258027198</v>
      </c>
    </row>
    <row r="567" spans="9:9">
      <c r="I567">
        <v>879110.42282169557</v>
      </c>
    </row>
    <row r="568" spans="9:9">
      <c r="I568">
        <v>1430336.1910960411</v>
      </c>
    </row>
    <row r="569" spans="9:9">
      <c r="I569">
        <v>2652291.6970070316</v>
      </c>
    </row>
    <row r="570" spans="9:9">
      <c r="I570">
        <v>2680947.4467865736</v>
      </c>
    </row>
    <row r="571" spans="9:9">
      <c r="I571">
        <v>393387.53650558164</v>
      </c>
    </row>
    <row r="572" spans="9:9">
      <c r="I572">
        <v>1530959.8202805461</v>
      </c>
    </row>
    <row r="573" spans="9:9">
      <c r="I573">
        <v>1774787.0077227717</v>
      </c>
    </row>
    <row r="574" spans="9:9">
      <c r="I574">
        <v>393725.64043911151</v>
      </c>
    </row>
    <row r="575" spans="9:9">
      <c r="I575">
        <v>1810026.0614062338</v>
      </c>
    </row>
    <row r="576" spans="9:9">
      <c r="I576">
        <v>1205715.8346328828</v>
      </c>
    </row>
    <row r="577" spans="9:9">
      <c r="I577">
        <v>385076.51488305081</v>
      </c>
    </row>
    <row r="578" spans="9:9">
      <c r="I578">
        <v>445414.84173518862</v>
      </c>
    </row>
    <row r="579" spans="9:9">
      <c r="I579">
        <v>1097018.7100790776</v>
      </c>
    </row>
    <row r="580" spans="9:9">
      <c r="I580">
        <v>364751.1801361572</v>
      </c>
    </row>
    <row r="581" spans="9:9">
      <c r="I581">
        <v>1392078.9925106394</v>
      </c>
    </row>
    <row r="582" spans="9:9">
      <c r="I582">
        <v>424117.35553918424</v>
      </c>
    </row>
    <row r="583" spans="9:9">
      <c r="I583">
        <v>241692.42715875921</v>
      </c>
    </row>
    <row r="584" spans="9:9">
      <c r="I584">
        <v>1107251.4149772373</v>
      </c>
    </row>
    <row r="585" spans="9:9">
      <c r="I585">
        <v>1610738.5041507366</v>
      </c>
    </row>
    <row r="586" spans="9:9">
      <c r="I586">
        <v>1340704.6152463534</v>
      </c>
    </row>
    <row r="587" spans="9:9">
      <c r="I587">
        <v>1037634.6228023738</v>
      </c>
    </row>
    <row r="588" spans="9:9">
      <c r="I588">
        <v>447227.65623887361</v>
      </c>
    </row>
    <row r="589" spans="9:9">
      <c r="I589">
        <v>1214662.4288498166</v>
      </c>
    </row>
    <row r="590" spans="9:9">
      <c r="I590">
        <v>778479.49094218342</v>
      </c>
    </row>
    <row r="591" spans="9:9">
      <c r="I591">
        <v>1633943.5721492053</v>
      </c>
    </row>
    <row r="592" spans="9:9">
      <c r="I592">
        <v>1220808.9488834587</v>
      </c>
    </row>
    <row r="593" spans="9:9">
      <c r="I593">
        <v>420007.36897266819</v>
      </c>
    </row>
    <row r="594" spans="9:9">
      <c r="I594">
        <v>958381.92307489435</v>
      </c>
    </row>
    <row r="595" spans="9:9">
      <c r="I595">
        <v>414390.07546564384</v>
      </c>
    </row>
    <row r="596" spans="9:9">
      <c r="I596">
        <v>1087842.8219071452</v>
      </c>
    </row>
    <row r="597" spans="9:9">
      <c r="I597">
        <v>244698.48387492954</v>
      </c>
    </row>
    <row r="598" spans="9:9">
      <c r="I598">
        <v>1993325.7292288474</v>
      </c>
    </row>
    <row r="599" spans="9:9">
      <c r="I599">
        <v>1279595.8558395803</v>
      </c>
    </row>
    <row r="600" spans="9:9">
      <c r="I600">
        <v>2916553.1398775135</v>
      </c>
    </row>
    <row r="601" spans="9:9">
      <c r="I601">
        <v>1133990.8183736466</v>
      </c>
    </row>
    <row r="602" spans="9:9">
      <c r="I602">
        <v>3318187.0522366581</v>
      </c>
    </row>
    <row r="603" spans="9:9">
      <c r="I603">
        <v>1437093.1742159401</v>
      </c>
    </row>
    <row r="604" spans="9:9">
      <c r="I604">
        <v>2393866.8529103193</v>
      </c>
    </row>
    <row r="605" spans="9:9">
      <c r="I605">
        <v>996740.0057448647</v>
      </c>
    </row>
    <row r="606" spans="9:9">
      <c r="I606">
        <v>746559.25213163067</v>
      </c>
    </row>
    <row r="607" spans="9:9">
      <c r="I607">
        <v>948713.12891162199</v>
      </c>
    </row>
    <row r="608" spans="9:9">
      <c r="I608">
        <v>1625590.2822423051</v>
      </c>
    </row>
    <row r="609" spans="9:9">
      <c r="I609">
        <v>311851.02934427379</v>
      </c>
    </row>
    <row r="610" spans="9:9">
      <c r="I610">
        <v>550880.82945500209</v>
      </c>
    </row>
    <row r="611" spans="9:9">
      <c r="I611">
        <v>367460.81705828645</v>
      </c>
    </row>
    <row r="612" spans="9:9">
      <c r="I612">
        <v>541837.64818330912</v>
      </c>
    </row>
    <row r="613" spans="9:9">
      <c r="I613">
        <v>1409137.1266809443</v>
      </c>
    </row>
    <row r="614" spans="9:9">
      <c r="I614">
        <v>1852183.3964663269</v>
      </c>
    </row>
    <row r="615" spans="9:9">
      <c r="I615">
        <v>720740.03664050344</v>
      </c>
    </row>
    <row r="616" spans="9:9">
      <c r="I616">
        <v>2633429.3195930389</v>
      </c>
    </row>
    <row r="617" spans="9:9">
      <c r="I617">
        <v>1135738.0680425502</v>
      </c>
    </row>
    <row r="618" spans="9:9">
      <c r="I618">
        <v>768352.55063293024</v>
      </c>
    </row>
    <row r="619" spans="9:9">
      <c r="I619">
        <v>754796.40943269199</v>
      </c>
    </row>
    <row r="620" spans="9:9">
      <c r="I620">
        <v>970853.4887694749</v>
      </c>
    </row>
    <row r="621" spans="9:9">
      <c r="I621">
        <v>876310.04393739346</v>
      </c>
    </row>
    <row r="622" spans="9:9">
      <c r="I622">
        <v>1755576.8249248138</v>
      </c>
    </row>
    <row r="623" spans="9:9">
      <c r="I623">
        <v>1198239.7650641748</v>
      </c>
    </row>
    <row r="624" spans="9:9">
      <c r="I624">
        <v>542513.69439416251</v>
      </c>
    </row>
    <row r="625" spans="9:9">
      <c r="I625">
        <v>990934.52210586646</v>
      </c>
    </row>
    <row r="626" spans="9:9">
      <c r="I626">
        <v>1276074.0265586341</v>
      </c>
    </row>
    <row r="627" spans="9:9">
      <c r="I627">
        <v>1551324.2270085348</v>
      </c>
    </row>
    <row r="628" spans="9:9">
      <c r="I628">
        <v>927718.72737953998</v>
      </c>
    </row>
    <row r="629" spans="9:9">
      <c r="I629">
        <v>1735537.2246745673</v>
      </c>
    </row>
    <row r="630" spans="9:9">
      <c r="I630">
        <v>540218.34426732489</v>
      </c>
    </row>
    <row r="631" spans="9:9">
      <c r="I631">
        <v>511720.89245289343</v>
      </c>
    </row>
    <row r="632" spans="9:9">
      <c r="I632">
        <v>1034099.3616338656</v>
      </c>
    </row>
    <row r="633" spans="9:9">
      <c r="I633">
        <v>1299995.4336440184</v>
      </c>
    </row>
    <row r="634" spans="9:9">
      <c r="I634">
        <v>607688.71829231246</v>
      </c>
    </row>
    <row r="635" spans="9:9">
      <c r="I635">
        <v>1218443.6512684682</v>
      </c>
    </row>
    <row r="636" spans="9:9">
      <c r="I636">
        <v>404912.77065058058</v>
      </c>
    </row>
    <row r="637" spans="9:9">
      <c r="I637">
        <v>996742.19124978094</v>
      </c>
    </row>
    <row r="638" spans="9:9">
      <c r="I638">
        <v>770633.08538649033</v>
      </c>
    </row>
    <row r="639" spans="9:9">
      <c r="I639">
        <v>914435.52237605595</v>
      </c>
    </row>
    <row r="640" spans="9:9">
      <c r="I640">
        <v>675624.71091555303</v>
      </c>
    </row>
    <row r="641" spans="9:9">
      <c r="I641">
        <v>762635.83257734112</v>
      </c>
    </row>
    <row r="642" spans="9:9">
      <c r="I642">
        <v>477687.94517059741</v>
      </c>
    </row>
    <row r="643" spans="9:9">
      <c r="I643">
        <v>825096.21691229125</v>
      </c>
    </row>
    <row r="644" spans="9:9">
      <c r="I644">
        <v>1214437.967562468</v>
      </c>
    </row>
    <row r="645" spans="9:9">
      <c r="I645">
        <v>547816.00955757732</v>
      </c>
    </row>
    <row r="646" spans="9:9">
      <c r="I646">
        <v>569078.92069183837</v>
      </c>
    </row>
    <row r="647" spans="9:9">
      <c r="I647">
        <v>518739.21790115209</v>
      </c>
    </row>
    <row r="648" spans="9:9">
      <c r="I648">
        <v>1644555.9020216772</v>
      </c>
    </row>
    <row r="649" spans="9:9">
      <c r="I649">
        <v>7723078.5739904037</v>
      </c>
    </row>
    <row r="650" spans="9:9">
      <c r="I650">
        <v>1137588.5158159181</v>
      </c>
    </row>
    <row r="651" spans="9:9">
      <c r="I651">
        <v>1431593.4406674006</v>
      </c>
    </row>
    <row r="652" spans="9:9">
      <c r="I652">
        <v>981901.53047158709</v>
      </c>
    </row>
    <row r="653" spans="9:9">
      <c r="I653">
        <v>613403.2994079612</v>
      </c>
    </row>
    <row r="654" spans="9:9">
      <c r="I654">
        <v>1113352.069156124</v>
      </c>
    </row>
    <row r="655" spans="9:9">
      <c r="I655">
        <v>285757.28348747129</v>
      </c>
    </row>
    <row r="656" spans="9:9">
      <c r="I656">
        <v>784021.40428565559</v>
      </c>
    </row>
    <row r="657" spans="9:9">
      <c r="I657">
        <v>1993044.1174394295</v>
      </c>
    </row>
    <row r="658" spans="9:9">
      <c r="I658">
        <v>477982.96334645519</v>
      </c>
    </row>
    <row r="659" spans="9:9">
      <c r="I659">
        <v>2010478.024922919</v>
      </c>
    </row>
    <row r="660" spans="9:9">
      <c r="I660">
        <v>590405.32770403614</v>
      </c>
    </row>
    <row r="661" spans="9:9">
      <c r="I661">
        <v>406778.09034204856</v>
      </c>
    </row>
    <row r="662" spans="9:9">
      <c r="I662">
        <v>1257363.0630381017</v>
      </c>
    </row>
    <row r="663" spans="9:9">
      <c r="I663">
        <v>360806.76599839947</v>
      </c>
    </row>
    <row r="664" spans="9:9">
      <c r="I664">
        <v>2421074.4065094581</v>
      </c>
    </row>
    <row r="665" spans="9:9">
      <c r="I665">
        <v>1842686.6581924548</v>
      </c>
    </row>
    <row r="666" spans="9:9">
      <c r="I666">
        <v>1612734.9204568409</v>
      </c>
    </row>
    <row r="667" spans="9:9">
      <c r="I667">
        <v>795914.98067719978</v>
      </c>
    </row>
    <row r="668" spans="9:9">
      <c r="I668">
        <v>508804.20715905074</v>
      </c>
    </row>
    <row r="669" spans="9:9">
      <c r="I669">
        <v>534441.23984919081</v>
      </c>
    </row>
    <row r="670" spans="9:9">
      <c r="I670">
        <v>123850.27323324088</v>
      </c>
    </row>
    <row r="671" spans="9:9">
      <c r="I671">
        <v>1781851.3554486732</v>
      </c>
    </row>
    <row r="672" spans="9:9">
      <c r="I672">
        <v>506460.44387483626</v>
      </c>
    </row>
    <row r="673" spans="9:9">
      <c r="I673">
        <v>952854.12709967</v>
      </c>
    </row>
    <row r="674" spans="9:9">
      <c r="I674">
        <v>1469623.2943333832</v>
      </c>
    </row>
    <row r="675" spans="9:9">
      <c r="I675">
        <v>1074927.6608963544</v>
      </c>
    </row>
    <row r="676" spans="9:9">
      <c r="I676">
        <v>1705497.1805632315</v>
      </c>
    </row>
    <row r="677" spans="9:9">
      <c r="I677">
        <v>1822287.9287980169</v>
      </c>
    </row>
    <row r="678" spans="9:9">
      <c r="I678">
        <v>1563494.3228801806</v>
      </c>
    </row>
    <row r="679" spans="9:9">
      <c r="I679">
        <v>1356716.2649703498</v>
      </c>
    </row>
    <row r="680" spans="9:9">
      <c r="I680">
        <v>861932.57576185826</v>
      </c>
    </row>
    <row r="681" spans="9:9">
      <c r="I681">
        <v>530282.60427960451</v>
      </c>
    </row>
    <row r="682" spans="9:9">
      <c r="I682">
        <v>391696.58693200944</v>
      </c>
    </row>
    <row r="683" spans="9:9">
      <c r="I683">
        <v>1087499.6494226833</v>
      </c>
    </row>
    <row r="684" spans="9:9">
      <c r="I684">
        <v>928055.8724847699</v>
      </c>
    </row>
    <row r="685" spans="9:9">
      <c r="I685">
        <v>241433.65906204158</v>
      </c>
    </row>
    <row r="686" spans="9:9">
      <c r="I686">
        <v>440309.54045705334</v>
      </c>
    </row>
    <row r="687" spans="9:9">
      <c r="I687">
        <v>787209.96728259569</v>
      </c>
    </row>
    <row r="688" spans="9:9">
      <c r="I688">
        <v>871490.54150220449</v>
      </c>
    </row>
    <row r="689" spans="9:9">
      <c r="I689">
        <v>606560.68137531844</v>
      </c>
    </row>
    <row r="690" spans="9:9">
      <c r="I690">
        <v>1656097.4501322911</v>
      </c>
    </row>
    <row r="691" spans="9:9">
      <c r="I691">
        <v>5653540.1055822354</v>
      </c>
    </row>
    <row r="692" spans="9:9">
      <c r="I692">
        <v>1227312.0683219586</v>
      </c>
    </row>
    <row r="693" spans="9:9">
      <c r="I693">
        <v>505560.14462979959</v>
      </c>
    </row>
    <row r="694" spans="9:9">
      <c r="I694">
        <v>612075.2471992569</v>
      </c>
    </row>
    <row r="695" spans="9:9">
      <c r="I695">
        <v>804038.72092124529</v>
      </c>
    </row>
    <row r="696" spans="9:9">
      <c r="I696">
        <v>1184741.798133333</v>
      </c>
    </row>
    <row r="697" spans="9:9">
      <c r="I697">
        <v>1836642.162020026</v>
      </c>
    </row>
    <row r="698" spans="9:9">
      <c r="I698">
        <v>879894.77358683816</v>
      </c>
    </row>
    <row r="699" spans="9:9">
      <c r="I699">
        <v>810947.58715876914</v>
      </c>
    </row>
    <row r="700" spans="9:9">
      <c r="I700">
        <v>1735352.6049003508</v>
      </c>
    </row>
    <row r="701" spans="9:9">
      <c r="I701">
        <v>2465126.0682568857</v>
      </c>
    </row>
    <row r="702" spans="9:9">
      <c r="I702">
        <v>616333.66052334895</v>
      </c>
    </row>
    <row r="703" spans="9:9">
      <c r="I703">
        <v>1585830.935624467</v>
      </c>
    </row>
    <row r="704" spans="9:9">
      <c r="I704">
        <v>921197.93450171733</v>
      </c>
    </row>
    <row r="705" spans="9:9">
      <c r="I705">
        <v>489402.9140351697</v>
      </c>
    </row>
    <row r="706" spans="9:9">
      <c r="I706">
        <v>929919.19127740175</v>
      </c>
    </row>
    <row r="707" spans="9:9">
      <c r="I707">
        <v>1764796.3313138029</v>
      </c>
    </row>
    <row r="708" spans="9:9">
      <c r="I708">
        <v>797805.55314969609</v>
      </c>
    </row>
    <row r="709" spans="9:9">
      <c r="I709">
        <v>838165.12123625958</v>
      </c>
    </row>
    <row r="710" spans="9:9">
      <c r="I710">
        <v>324613.13068521686</v>
      </c>
    </row>
    <row r="711" spans="9:9">
      <c r="I711">
        <v>2616073.3451908496</v>
      </c>
    </row>
    <row r="712" spans="9:9">
      <c r="I712">
        <v>613148.71949688101</v>
      </c>
    </row>
    <row r="713" spans="9:9">
      <c r="I713">
        <v>1892520.3260674633</v>
      </c>
    </row>
    <row r="714" spans="9:9">
      <c r="I714">
        <v>4500004.7193493564</v>
      </c>
    </row>
    <row r="715" spans="9:9">
      <c r="I715">
        <v>968219.51729462517</v>
      </c>
    </row>
    <row r="716" spans="9:9">
      <c r="I716">
        <v>1109913.022686067</v>
      </c>
    </row>
    <row r="717" spans="9:9">
      <c r="I717">
        <v>577877.63001086039</v>
      </c>
    </row>
    <row r="718" spans="9:9">
      <c r="I718">
        <v>1007855.9931158703</v>
      </c>
    </row>
    <row r="719" spans="9:9">
      <c r="I719">
        <v>959911.81606356904</v>
      </c>
    </row>
    <row r="720" spans="9:9">
      <c r="I720">
        <v>988344.82804537821</v>
      </c>
    </row>
    <row r="721" spans="9:9">
      <c r="I721">
        <v>1109450.466885553</v>
      </c>
    </row>
    <row r="722" spans="9:9">
      <c r="I722">
        <v>585913.29722655239</v>
      </c>
    </row>
    <row r="723" spans="9:9">
      <c r="I723">
        <v>2158464.2386250892</v>
      </c>
    </row>
    <row r="724" spans="9:9">
      <c r="I724">
        <v>1275655.7479599181</v>
      </c>
    </row>
    <row r="725" spans="9:9">
      <c r="I725">
        <v>1445740.9717626839</v>
      </c>
    </row>
    <row r="726" spans="9:9">
      <c r="I726">
        <v>1095685.7115839263</v>
      </c>
    </row>
    <row r="727" spans="9:9">
      <c r="I727">
        <v>994105.97951717279</v>
      </c>
    </row>
    <row r="728" spans="9:9">
      <c r="I728">
        <v>1520860.0265496566</v>
      </c>
    </row>
    <row r="729" spans="9:9">
      <c r="I729">
        <v>439349.37973837077</v>
      </c>
    </row>
    <row r="730" spans="9:9">
      <c r="I730">
        <v>1013103.3755750054</v>
      </c>
    </row>
    <row r="731" spans="9:9">
      <c r="I731">
        <v>2001080.0799140059</v>
      </c>
    </row>
    <row r="732" spans="9:9">
      <c r="I732">
        <v>1602880.9386812027</v>
      </c>
    </row>
    <row r="733" spans="9:9">
      <c r="I733">
        <v>352399.63616744988</v>
      </c>
    </row>
    <row r="734" spans="9:9">
      <c r="I734">
        <v>1143462.4520899106</v>
      </c>
    </row>
    <row r="735" spans="9:9">
      <c r="I735">
        <v>1062202.782234411</v>
      </c>
    </row>
    <row r="736" spans="9:9">
      <c r="I736">
        <v>401483.64964887354</v>
      </c>
    </row>
    <row r="737" spans="9:9">
      <c r="I737">
        <v>1503600.8130242541</v>
      </c>
    </row>
    <row r="738" spans="9:9">
      <c r="I738">
        <v>1533065.5590026863</v>
      </c>
    </row>
    <row r="739" spans="9:9">
      <c r="I739">
        <v>945985.81159897486</v>
      </c>
    </row>
    <row r="740" spans="9:9">
      <c r="I740">
        <v>293682.15948292305</v>
      </c>
    </row>
    <row r="741" spans="9:9">
      <c r="I741">
        <v>393223.39595454244</v>
      </c>
    </row>
    <row r="742" spans="9:9">
      <c r="I742">
        <v>694448.10937009088</v>
      </c>
    </row>
    <row r="743" spans="9:9">
      <c r="I743">
        <v>153975.94640995137</v>
      </c>
    </row>
    <row r="744" spans="9:9">
      <c r="I744">
        <v>416493.18370825413</v>
      </c>
    </row>
    <row r="745" spans="9:9">
      <c r="I745">
        <v>1093234.764729494</v>
      </c>
    </row>
    <row r="746" spans="9:9">
      <c r="I746">
        <v>656830.89854610281</v>
      </c>
    </row>
    <row r="747" spans="9:9">
      <c r="I747">
        <v>1028442.7678159934</v>
      </c>
    </row>
    <row r="748" spans="9:9">
      <c r="I748">
        <v>490675.99479412287</v>
      </c>
    </row>
    <row r="749" spans="9:9">
      <c r="I749">
        <v>691796.35261068435</v>
      </c>
    </row>
    <row r="750" spans="9:9">
      <c r="I750">
        <v>1300035.4872307978</v>
      </c>
    </row>
    <row r="751" spans="9:9">
      <c r="I751">
        <v>451319.07130690606</v>
      </c>
    </row>
    <row r="752" spans="9:9">
      <c r="I752">
        <v>575934.20087453828</v>
      </c>
    </row>
    <row r="753" spans="9:9">
      <c r="I753">
        <v>768112.66711233417</v>
      </c>
    </row>
    <row r="754" spans="9:9">
      <c r="I754">
        <v>839620.4383542448</v>
      </c>
    </row>
    <row r="755" spans="9:9">
      <c r="I755">
        <v>1659907.1715622642</v>
      </c>
    </row>
    <row r="756" spans="9:9">
      <c r="I756">
        <v>173370.70805133597</v>
      </c>
    </row>
    <row r="757" spans="9:9">
      <c r="I757">
        <v>1374736.8443315949</v>
      </c>
    </row>
    <row r="758" spans="9:9">
      <c r="I758">
        <v>488713.61612961814</v>
      </c>
    </row>
    <row r="759" spans="9:9">
      <c r="I759">
        <v>3288401.159668616</v>
      </c>
    </row>
    <row r="760" spans="9:9">
      <c r="I760">
        <v>578720.34726903192</v>
      </c>
    </row>
    <row r="761" spans="9:9">
      <c r="I761">
        <v>376002.5873610389</v>
      </c>
    </row>
    <row r="762" spans="9:9">
      <c r="I762">
        <v>794854.20686220925</v>
      </c>
    </row>
    <row r="763" spans="9:9">
      <c r="I763">
        <v>242967.45647765542</v>
      </c>
    </row>
    <row r="764" spans="9:9">
      <c r="I764">
        <v>2110543.6742427959</v>
      </c>
    </row>
    <row r="765" spans="9:9">
      <c r="I765">
        <v>1261890.4308181747</v>
      </c>
    </row>
    <row r="766" spans="9:9">
      <c r="I766">
        <v>879398.3400098664</v>
      </c>
    </row>
    <row r="767" spans="9:9">
      <c r="I767">
        <v>470112.05509869789</v>
      </c>
    </row>
    <row r="768" spans="9:9">
      <c r="I768">
        <v>714165.85569344019</v>
      </c>
    </row>
    <row r="769" spans="9:9">
      <c r="I769">
        <v>1549164.3504286516</v>
      </c>
    </row>
    <row r="770" spans="9:9">
      <c r="I770">
        <v>699772.73118103633</v>
      </c>
    </row>
    <row r="771" spans="9:9">
      <c r="I771">
        <v>400921.10273113305</v>
      </c>
    </row>
    <row r="772" spans="9:9">
      <c r="I772">
        <v>688819.86060325045</v>
      </c>
    </row>
    <row r="773" spans="9:9">
      <c r="I773">
        <v>1082147.250437323</v>
      </c>
    </row>
    <row r="774" spans="9:9">
      <c r="I774">
        <v>417644.01637341088</v>
      </c>
    </row>
    <row r="775" spans="9:9">
      <c r="I775">
        <v>1620325.6707387732</v>
      </c>
    </row>
    <row r="776" spans="9:9">
      <c r="I776">
        <v>891237.00748022564</v>
      </c>
    </row>
    <row r="777" spans="9:9">
      <c r="I777">
        <v>1152903.5836259548</v>
      </c>
    </row>
    <row r="778" spans="9:9">
      <c r="I778">
        <v>1336227.6196462193</v>
      </c>
    </row>
    <row r="779" spans="9:9">
      <c r="I779">
        <v>447891.47454602929</v>
      </c>
    </row>
    <row r="780" spans="9:9">
      <c r="I780">
        <v>1554358.2608566615</v>
      </c>
    </row>
    <row r="781" spans="9:9">
      <c r="I781">
        <v>1009325.242531576</v>
      </c>
    </row>
    <row r="782" spans="9:9">
      <c r="I782">
        <v>714482.28887578833</v>
      </c>
    </row>
    <row r="783" spans="9:9">
      <c r="I783">
        <v>848813.93959335692</v>
      </c>
    </row>
    <row r="784" spans="9:9">
      <c r="I784">
        <v>486534.53377537016</v>
      </c>
    </row>
    <row r="785" spans="9:9">
      <c r="I785">
        <v>1870192.4421239616</v>
      </c>
    </row>
    <row r="786" spans="9:9">
      <c r="I786">
        <v>796375.62544094736</v>
      </c>
    </row>
    <row r="787" spans="9:9">
      <c r="I787">
        <v>3115572.1261225501</v>
      </c>
    </row>
    <row r="788" spans="9:9">
      <c r="I788">
        <v>1117752.2480340458</v>
      </c>
    </row>
    <row r="789" spans="9:9">
      <c r="I789">
        <v>2695068.7919547041</v>
      </c>
    </row>
    <row r="790" spans="9:9">
      <c r="I790">
        <v>470340.37856468884</v>
      </c>
    </row>
    <row r="791" spans="9:9">
      <c r="I791">
        <v>688315.01750084024</v>
      </c>
    </row>
    <row r="792" spans="9:9">
      <c r="I792">
        <v>879407.62282306643</v>
      </c>
    </row>
    <row r="793" spans="9:9">
      <c r="I793">
        <v>522022.79733755626</v>
      </c>
    </row>
    <row r="794" spans="9:9">
      <c r="I794">
        <v>902531.16818897543</v>
      </c>
    </row>
    <row r="795" spans="9:9">
      <c r="I795">
        <v>445158.0484275574</v>
      </c>
    </row>
    <row r="796" spans="9:9">
      <c r="I796">
        <v>974069.87312921567</v>
      </c>
    </row>
    <row r="797" spans="9:9">
      <c r="I797">
        <v>865288.63156315265</v>
      </c>
    </row>
    <row r="798" spans="9:9">
      <c r="I798">
        <v>618831.77873406932</v>
      </c>
    </row>
    <row r="799" spans="9:9">
      <c r="I799">
        <v>333299.42237853655</v>
      </c>
    </row>
    <row r="800" spans="9:9">
      <c r="I800">
        <v>844214.06396637834</v>
      </c>
    </row>
    <row r="801" spans="9:9">
      <c r="I801">
        <v>547825.60614575993</v>
      </c>
    </row>
    <row r="802" spans="9:9">
      <c r="I802">
        <v>1087368.3848965792</v>
      </c>
    </row>
    <row r="803" spans="9:9">
      <c r="I803">
        <v>770224.39236700977</v>
      </c>
    </row>
    <row r="804" spans="9:9">
      <c r="I804">
        <v>407425.33731037308</v>
      </c>
    </row>
    <row r="805" spans="9:9">
      <c r="I805">
        <v>977440.51518136216</v>
      </c>
    </row>
    <row r="806" spans="9:9">
      <c r="I806">
        <v>423111.48586345819</v>
      </c>
    </row>
    <row r="807" spans="9:9">
      <c r="I807">
        <v>1056937.7861138454</v>
      </c>
    </row>
    <row r="808" spans="9:9">
      <c r="I808">
        <v>881277.4907752038</v>
      </c>
    </row>
    <row r="809" spans="9:9">
      <c r="I809">
        <v>409966.3593899954</v>
      </c>
    </row>
    <row r="810" spans="9:9">
      <c r="I810">
        <v>1013866.3199285009</v>
      </c>
    </row>
    <row r="811" spans="9:9">
      <c r="I811">
        <v>356735.87899589003</v>
      </c>
    </row>
    <row r="812" spans="9:9">
      <c r="I812">
        <v>491568.2807960285</v>
      </c>
    </row>
    <row r="813" spans="9:9">
      <c r="I813">
        <v>516919.61891405832</v>
      </c>
    </row>
    <row r="814" spans="9:9">
      <c r="I814">
        <v>456675.87856877246</v>
      </c>
    </row>
    <row r="815" spans="9:9">
      <c r="I815">
        <v>857636.33391101041</v>
      </c>
    </row>
    <row r="816" spans="9:9">
      <c r="I816">
        <v>2197139.1272443128</v>
      </c>
    </row>
    <row r="817" spans="9:9">
      <c r="I817">
        <v>746120.06974272209</v>
      </c>
    </row>
    <row r="818" spans="9:9">
      <c r="I818">
        <v>407615.124165227</v>
      </c>
    </row>
    <row r="819" spans="9:9">
      <c r="I819">
        <v>1778178.5985595961</v>
      </c>
    </row>
    <row r="820" spans="9:9">
      <c r="I820">
        <v>554384.21734430699</v>
      </c>
    </row>
    <row r="821" spans="9:9">
      <c r="I821">
        <v>506313.87185171567</v>
      </c>
    </row>
    <row r="822" spans="9:9">
      <c r="I822">
        <v>871688.78386907734</v>
      </c>
    </row>
    <row r="823" spans="9:9">
      <c r="I823">
        <v>580180.4292505926</v>
      </c>
    </row>
    <row r="824" spans="9:9">
      <c r="I824">
        <v>1676310.1157823196</v>
      </c>
    </row>
    <row r="825" spans="9:9">
      <c r="I825">
        <v>521513.48311707523</v>
      </c>
    </row>
    <row r="826" spans="9:9">
      <c r="I826">
        <v>612022.90567229758</v>
      </c>
    </row>
    <row r="827" spans="9:9">
      <c r="I827">
        <v>1077457.9807913015</v>
      </c>
    </row>
    <row r="828" spans="9:9">
      <c r="I828">
        <v>1052075.2801084898</v>
      </c>
    </row>
    <row r="829" spans="9:9">
      <c r="I829">
        <v>449904.42202614003</v>
      </c>
    </row>
    <row r="830" spans="9:9">
      <c r="I830">
        <v>755319.35249377519</v>
      </c>
    </row>
    <row r="831" spans="9:9">
      <c r="I831">
        <v>639016.42257456935</v>
      </c>
    </row>
    <row r="832" spans="9:9">
      <c r="I832">
        <v>1167923.7464753424</v>
      </c>
    </row>
    <row r="833" spans="9:9">
      <c r="I833">
        <v>1077717.5303320272</v>
      </c>
    </row>
    <row r="834" spans="9:9">
      <c r="I834">
        <v>1723188.9213750502</v>
      </c>
    </row>
    <row r="835" spans="9:9">
      <c r="I835">
        <v>1163995.6072777547</v>
      </c>
    </row>
    <row r="836" spans="9:9">
      <c r="I836">
        <v>3110682.9367431975</v>
      </c>
    </row>
    <row r="837" spans="9:9">
      <c r="I837">
        <v>1185627.8619143912</v>
      </c>
    </row>
    <row r="838" spans="9:9">
      <c r="I838">
        <v>1637293.4061549234</v>
      </c>
    </row>
    <row r="839" spans="9:9">
      <c r="I839">
        <v>633520.10679476662</v>
      </c>
    </row>
    <row r="840" spans="9:9">
      <c r="I840">
        <v>979271.45017332071</v>
      </c>
    </row>
    <row r="841" spans="9:9">
      <c r="I841">
        <v>906284.39961159101</v>
      </c>
    </row>
    <row r="842" spans="9:9">
      <c r="I842">
        <v>528864.22522318445</v>
      </c>
    </row>
    <row r="843" spans="9:9">
      <c r="I843">
        <v>483445.49945072929</v>
      </c>
    </row>
    <row r="844" spans="9:9">
      <c r="I844">
        <v>883265.30015039491</v>
      </c>
    </row>
    <row r="845" spans="9:9">
      <c r="I845">
        <v>608173.29122126638</v>
      </c>
    </row>
    <row r="846" spans="9:9">
      <c r="I846">
        <v>2139212.2162541291</v>
      </c>
    </row>
    <row r="847" spans="9:9">
      <c r="I847">
        <v>900153.59397033101</v>
      </c>
    </row>
    <row r="848" spans="9:9">
      <c r="I848">
        <v>2156573.8433368881</v>
      </c>
    </row>
    <row r="849" spans="9:9">
      <c r="I849">
        <v>1351785.5344097984</v>
      </c>
    </row>
    <row r="850" spans="9:9">
      <c r="I850">
        <v>2089957.9026565391</v>
      </c>
    </row>
    <row r="851" spans="9:9">
      <c r="I851">
        <v>400351.65498225909</v>
      </c>
    </row>
    <row r="852" spans="9:9">
      <c r="I852">
        <v>1793605.4791281328</v>
      </c>
    </row>
    <row r="853" spans="9:9">
      <c r="I853">
        <v>1183546.8838533554</v>
      </c>
    </row>
    <row r="854" spans="9:9">
      <c r="I854">
        <v>327129.84520495601</v>
      </c>
    </row>
    <row r="855" spans="9:9">
      <c r="I855">
        <v>288731.17094930459</v>
      </c>
    </row>
    <row r="856" spans="9:9">
      <c r="I856">
        <v>971319.56928900944</v>
      </c>
    </row>
    <row r="857" spans="9:9">
      <c r="I857">
        <v>555877.20446802338</v>
      </c>
    </row>
    <row r="858" spans="9:9">
      <c r="I858">
        <v>454305.74225347914</v>
      </c>
    </row>
    <row r="859" spans="9:9">
      <c r="I859">
        <v>1884885.0637790298</v>
      </c>
    </row>
    <row r="860" spans="9:9">
      <c r="I860">
        <v>1254133.9440696428</v>
      </c>
    </row>
    <row r="861" spans="9:9">
      <c r="I861">
        <v>1722865.6427214607</v>
      </c>
    </row>
    <row r="862" spans="9:9">
      <c r="I862">
        <v>611251.70097668853</v>
      </c>
    </row>
    <row r="863" spans="9:9">
      <c r="I863">
        <v>337061.94679446326</v>
      </c>
    </row>
    <row r="864" spans="9:9">
      <c r="I864">
        <v>441907.89049196226</v>
      </c>
    </row>
    <row r="865" spans="9:9">
      <c r="I865">
        <v>671707.5457836889</v>
      </c>
    </row>
    <row r="866" spans="9:9">
      <c r="I866">
        <v>5843787.8578306334</v>
      </c>
    </row>
    <row r="867" spans="9:9">
      <c r="I867">
        <v>1065671.2056076778</v>
      </c>
    </row>
    <row r="868" spans="9:9">
      <c r="I868">
        <v>688259.45553210727</v>
      </c>
    </row>
    <row r="869" spans="9:9">
      <c r="I869">
        <v>1393249.2284604034</v>
      </c>
    </row>
    <row r="870" spans="9:9">
      <c r="I870">
        <v>662882.93546597706</v>
      </c>
    </row>
    <row r="871" spans="9:9">
      <c r="I871">
        <v>747813.02998590656</v>
      </c>
    </row>
    <row r="872" spans="9:9">
      <c r="I872">
        <v>762823.73311660881</v>
      </c>
    </row>
    <row r="873" spans="9:9">
      <c r="I873">
        <v>513788.65347594861</v>
      </c>
    </row>
    <row r="874" spans="9:9">
      <c r="I874">
        <v>967008.67835188692</v>
      </c>
    </row>
    <row r="875" spans="9:9">
      <c r="I875">
        <v>570393.59343161422</v>
      </c>
    </row>
    <row r="876" spans="9:9">
      <c r="I876">
        <v>492100.18795107736</v>
      </c>
    </row>
    <row r="877" spans="9:9">
      <c r="I877">
        <v>1248671.813777789</v>
      </c>
    </row>
    <row r="878" spans="9:9">
      <c r="I878">
        <v>1178472.8300831027</v>
      </c>
    </row>
    <row r="879" spans="9:9">
      <c r="I879">
        <v>411168.4545530178</v>
      </c>
    </row>
    <row r="880" spans="9:9">
      <c r="I880">
        <v>1446160.7419683458</v>
      </c>
    </row>
    <row r="881" spans="9:9">
      <c r="I881">
        <v>321722.31874541077</v>
      </c>
    </row>
    <row r="882" spans="9:9">
      <c r="I882">
        <v>874487.18988435657</v>
      </c>
    </row>
    <row r="883" spans="9:9">
      <c r="I883">
        <v>462752.31749257148</v>
      </c>
    </row>
    <row r="884" spans="9:9">
      <c r="I884">
        <v>2308030.9319994398</v>
      </c>
    </row>
    <row r="885" spans="9:9">
      <c r="I885">
        <v>2368524.0802955739</v>
      </c>
    </row>
    <row r="886" spans="9:9">
      <c r="I886">
        <v>725810.82809824392</v>
      </c>
    </row>
    <row r="887" spans="9:9">
      <c r="I887">
        <v>999173.19105086103</v>
      </c>
    </row>
    <row r="888" spans="9:9">
      <c r="I888">
        <v>212837.77554720081</v>
      </c>
    </row>
    <row r="889" spans="9:9">
      <c r="I889">
        <v>1171402.1855375262</v>
      </c>
    </row>
    <row r="890" spans="9:9">
      <c r="I890">
        <v>967568.60170331236</v>
      </c>
    </row>
    <row r="891" spans="9:9">
      <c r="I891">
        <v>1027928.5127276633</v>
      </c>
    </row>
    <row r="892" spans="9:9">
      <c r="I892">
        <v>1768083.2700151363</v>
      </c>
    </row>
    <row r="893" spans="9:9">
      <c r="I893">
        <v>980112.1866084598</v>
      </c>
    </row>
    <row r="894" spans="9:9">
      <c r="I894">
        <v>1543782.4736933243</v>
      </c>
    </row>
    <row r="895" spans="9:9">
      <c r="I895">
        <v>1792901.1646046422</v>
      </c>
    </row>
    <row r="896" spans="9:9">
      <c r="I896">
        <v>677950.49281580001</v>
      </c>
    </row>
    <row r="897" spans="9:9">
      <c r="I897">
        <v>1117460.097232495</v>
      </c>
    </row>
    <row r="898" spans="9:9">
      <c r="I898">
        <v>677684.96477340348</v>
      </c>
    </row>
    <row r="899" spans="9:9">
      <c r="I899">
        <v>1511166.1773581065</v>
      </c>
    </row>
    <row r="900" spans="9:9">
      <c r="I900">
        <v>1218325.8209484019</v>
      </c>
    </row>
    <row r="901" spans="9:9">
      <c r="I901">
        <v>563243.71148596855</v>
      </c>
    </row>
    <row r="902" spans="9:9">
      <c r="I902">
        <v>3214751.7025303333</v>
      </c>
    </row>
    <row r="903" spans="9:9">
      <c r="I903">
        <v>1003407.7562296101</v>
      </c>
    </row>
    <row r="904" spans="9:9">
      <c r="I904">
        <v>886319.55845105334</v>
      </c>
    </row>
    <row r="905" spans="9:9">
      <c r="I905">
        <v>463639.31288346037</v>
      </c>
    </row>
    <row r="906" spans="9:9">
      <c r="I906">
        <v>1472730.494486839</v>
      </c>
    </row>
    <row r="907" spans="9:9">
      <c r="I907">
        <v>1317383.8804542641</v>
      </c>
    </row>
    <row r="908" spans="9:9">
      <c r="I908">
        <v>429083.78964132705</v>
      </c>
    </row>
    <row r="909" spans="9:9">
      <c r="I909">
        <v>303300.77389319224</v>
      </c>
    </row>
    <row r="910" spans="9:9">
      <c r="I910">
        <v>1052189.7575000213</v>
      </c>
    </row>
    <row r="911" spans="9:9">
      <c r="I911">
        <v>838837.64538429305</v>
      </c>
    </row>
    <row r="912" spans="9:9">
      <c r="I912">
        <v>865346.9109206124</v>
      </c>
    </row>
    <row r="913" spans="9:9">
      <c r="I913">
        <v>1291679.5055731928</v>
      </c>
    </row>
    <row r="914" spans="9:9">
      <c r="I914">
        <v>2786488.5535359611</v>
      </c>
    </row>
    <row r="915" spans="9:9">
      <c r="I915">
        <v>5192795.2375941547</v>
      </c>
    </row>
    <row r="916" spans="9:9">
      <c r="I916">
        <v>1251615.7655975604</v>
      </c>
    </row>
    <row r="917" spans="9:9">
      <c r="I917">
        <v>1181534.2781086357</v>
      </c>
    </row>
    <row r="918" spans="9:9">
      <c r="I918">
        <v>1614075.9556147433</v>
      </c>
    </row>
    <row r="919" spans="9:9">
      <c r="I919">
        <v>644127.42286071542</v>
      </c>
    </row>
    <row r="920" spans="9:9">
      <c r="I920">
        <v>471290.07998537365</v>
      </c>
    </row>
    <row r="921" spans="9:9">
      <c r="I921">
        <v>938498.63869937521</v>
      </c>
    </row>
    <row r="922" spans="9:9">
      <c r="I922">
        <v>2429092.6696550576</v>
      </c>
    </row>
    <row r="923" spans="9:9">
      <c r="I923">
        <v>681521.87765695772</v>
      </c>
    </row>
    <row r="924" spans="9:9">
      <c r="I924">
        <v>472202.75714655453</v>
      </c>
    </row>
    <row r="925" spans="9:9">
      <c r="I925">
        <v>2006726.9689634929</v>
      </c>
    </row>
    <row r="926" spans="9:9">
      <c r="I926">
        <v>2079332.9333249819</v>
      </c>
    </row>
    <row r="927" spans="9:9">
      <c r="I927">
        <v>994658.14211308712</v>
      </c>
    </row>
    <row r="928" spans="9:9">
      <c r="I928">
        <v>2847116.0577018834</v>
      </c>
    </row>
    <row r="929" spans="9:9">
      <c r="I929">
        <v>1107489.9507412</v>
      </c>
    </row>
    <row r="930" spans="9:9">
      <c r="I930">
        <v>470063.36180406605</v>
      </c>
    </row>
    <row r="931" spans="9:9">
      <c r="I931">
        <v>1542673.0320937049</v>
      </c>
    </row>
    <row r="932" spans="9:9">
      <c r="I932">
        <v>479977.0816435187</v>
      </c>
    </row>
    <row r="933" spans="9:9">
      <c r="I933">
        <v>407514.45814451855</v>
      </c>
    </row>
    <row r="934" spans="9:9">
      <c r="I934">
        <v>355821.67227564461</v>
      </c>
    </row>
    <row r="935" spans="9:9">
      <c r="I935">
        <v>1533609.398394245</v>
      </c>
    </row>
    <row r="936" spans="9:9">
      <c r="I936">
        <v>515465.84989383013</v>
      </c>
    </row>
    <row r="937" spans="9:9">
      <c r="I937">
        <v>801560.72989187774</v>
      </c>
    </row>
    <row r="938" spans="9:9">
      <c r="I938">
        <v>489957.4743809019</v>
      </c>
    </row>
    <row r="939" spans="9:9">
      <c r="I939">
        <v>2043103.9131450865</v>
      </c>
    </row>
    <row r="940" spans="9:9">
      <c r="I940">
        <v>1434763.419384717</v>
      </c>
    </row>
    <row r="941" spans="9:9">
      <c r="I941">
        <v>871295.21093839512</v>
      </c>
    </row>
    <row r="942" spans="9:9">
      <c r="I942">
        <v>437739.46928589855</v>
      </c>
    </row>
    <row r="943" spans="9:9">
      <c r="I943">
        <v>2534510.8777214987</v>
      </c>
    </row>
    <row r="944" spans="9:9">
      <c r="I944">
        <v>977842.29886840901</v>
      </c>
    </row>
    <row r="945" spans="9:9">
      <c r="I945">
        <v>1201554.8019105459</v>
      </c>
    </row>
    <row r="946" spans="9:9">
      <c r="I946">
        <v>2235753.2518319613</v>
      </c>
    </row>
    <row r="947" spans="9:9">
      <c r="I947">
        <v>590652.16681242536</v>
      </c>
    </row>
    <row r="948" spans="9:9">
      <c r="I948">
        <v>522455.57558917115</v>
      </c>
    </row>
    <row r="949" spans="9:9">
      <c r="I949">
        <v>408453.21753281506</v>
      </c>
    </row>
    <row r="950" spans="9:9">
      <c r="I950">
        <v>660695.59296341985</v>
      </c>
    </row>
    <row r="951" spans="9:9">
      <c r="I951">
        <v>961336.43659846729</v>
      </c>
    </row>
    <row r="952" spans="9:9">
      <c r="I952">
        <v>1077818.1212692596</v>
      </c>
    </row>
    <row r="953" spans="9:9">
      <c r="I953">
        <v>834432.46708321141</v>
      </c>
    </row>
    <row r="954" spans="9:9">
      <c r="I954">
        <v>1442530.243738513</v>
      </c>
    </row>
    <row r="955" spans="9:9">
      <c r="I955">
        <v>181651.90803084595</v>
      </c>
    </row>
    <row r="956" spans="9:9">
      <c r="I956">
        <v>2060272.780652426</v>
      </c>
    </row>
    <row r="957" spans="9:9">
      <c r="I957">
        <v>934136.38858346781</v>
      </c>
    </row>
    <row r="958" spans="9:9">
      <c r="I958">
        <v>705416.27999862062</v>
      </c>
    </row>
    <row r="959" spans="9:9">
      <c r="I959">
        <v>2643358.8939022329</v>
      </c>
    </row>
    <row r="960" spans="9:9">
      <c r="I960">
        <v>657953.71417083929</v>
      </c>
    </row>
    <row r="961" spans="9:9">
      <c r="I961">
        <v>503864.44508277741</v>
      </c>
    </row>
    <row r="962" spans="9:9">
      <c r="I962">
        <v>503069.29861859133</v>
      </c>
    </row>
    <row r="963" spans="9:9">
      <c r="I963">
        <v>1193372.3867962067</v>
      </c>
    </row>
    <row r="964" spans="9:9">
      <c r="I964">
        <v>2146243.7630705787</v>
      </c>
    </row>
    <row r="965" spans="9:9">
      <c r="I965">
        <v>1842085.9963629991</v>
      </c>
    </row>
    <row r="966" spans="9:9">
      <c r="I966">
        <v>580954.9102902438</v>
      </c>
    </row>
    <row r="967" spans="9:9">
      <c r="I967">
        <v>1067165.927305907</v>
      </c>
    </row>
    <row r="968" spans="9:9">
      <c r="I968">
        <v>1014580.3501336876</v>
      </c>
    </row>
    <row r="969" spans="9:9">
      <c r="I969">
        <v>2196858.5242579505</v>
      </c>
    </row>
    <row r="970" spans="9:9">
      <c r="I970">
        <v>624620.03893439623</v>
      </c>
    </row>
    <row r="971" spans="9:9">
      <c r="I971">
        <v>1062001.5772130196</v>
      </c>
    </row>
    <row r="972" spans="9:9">
      <c r="I972">
        <v>591582.56379230053</v>
      </c>
    </row>
    <row r="973" spans="9:9">
      <c r="I973">
        <v>1091109.4992475295</v>
      </c>
    </row>
    <row r="974" spans="9:9">
      <c r="I974">
        <v>459614.59462060058</v>
      </c>
    </row>
    <row r="975" spans="9:9">
      <c r="I975">
        <v>1614342.8283961623</v>
      </c>
    </row>
    <row r="976" spans="9:9">
      <c r="I976">
        <v>4608999.0419519274</v>
      </c>
    </row>
    <row r="977" spans="9:9">
      <c r="I977">
        <v>1312611.0456842803</v>
      </c>
    </row>
    <row r="978" spans="9:9">
      <c r="I978">
        <v>774490.7792034602</v>
      </c>
    </row>
    <row r="979" spans="9:9">
      <c r="I979">
        <v>588434.0507009736</v>
      </c>
    </row>
    <row r="980" spans="9:9">
      <c r="I980">
        <v>532528.36431152467</v>
      </c>
    </row>
    <row r="981" spans="9:9">
      <c r="I981">
        <v>800810.09080262017</v>
      </c>
    </row>
    <row r="982" spans="9:9">
      <c r="I982">
        <v>680360.65390799474</v>
      </c>
    </row>
    <row r="983" spans="9:9">
      <c r="I983">
        <v>1441601.2692293942</v>
      </c>
    </row>
    <row r="984" spans="9:9">
      <c r="I984">
        <v>860719.60959102563</v>
      </c>
    </row>
    <row r="985" spans="9:9">
      <c r="I985">
        <v>548292.10490225058</v>
      </c>
    </row>
    <row r="986" spans="9:9">
      <c r="I986">
        <v>773843.06009688356</v>
      </c>
    </row>
    <row r="987" spans="9:9">
      <c r="I987">
        <v>763307.58942138229</v>
      </c>
    </row>
    <row r="988" spans="9:9">
      <c r="I988">
        <v>1431111.0610563846</v>
      </c>
    </row>
    <row r="989" spans="9:9">
      <c r="I989">
        <v>2402021.4707210097</v>
      </c>
    </row>
    <row r="990" spans="9:9">
      <c r="I990">
        <v>2478852.6688432018</v>
      </c>
    </row>
    <row r="991" spans="9:9">
      <c r="I991">
        <v>339156.99917234731</v>
      </c>
    </row>
    <row r="992" spans="9:9">
      <c r="I992">
        <v>465115.85449297912</v>
      </c>
    </row>
    <row r="993" spans="9:9">
      <c r="I993">
        <v>1136979.160549717</v>
      </c>
    </row>
    <row r="994" spans="9:9">
      <c r="I994">
        <v>1184542.6515643592</v>
      </c>
    </row>
    <row r="995" spans="9:9">
      <c r="I995">
        <v>299688.69780098612</v>
      </c>
    </row>
    <row r="996" spans="9:9">
      <c r="I996">
        <v>785695.44798993913</v>
      </c>
    </row>
    <row r="997" spans="9:9">
      <c r="I997">
        <v>1893012.148786355</v>
      </c>
    </row>
    <row r="998" spans="9:9">
      <c r="I998">
        <v>512581.91655802575</v>
      </c>
    </row>
    <row r="999" spans="9:9">
      <c r="I999">
        <v>1466861.8039399679</v>
      </c>
    </row>
    <row r="1000" spans="9:9">
      <c r="I1000">
        <v>1639605.1501922794</v>
      </c>
    </row>
    <row r="1001" spans="9:9">
      <c r="I1001">
        <v>1625872.8075555593</v>
      </c>
    </row>
    <row r="1002" spans="9:9">
      <c r="I1002">
        <v>1116445.0285555299</v>
      </c>
    </row>
    <row r="1003" spans="9:9">
      <c r="I1003">
        <v>2995968.2651190897</v>
      </c>
    </row>
    <row r="1004" spans="9:9">
      <c r="I1004">
        <v>524355.59227153705</v>
      </c>
    </row>
    <row r="1005" spans="9:9">
      <c r="I1005">
        <v>608694.95664848632</v>
      </c>
    </row>
    <row r="1006" spans="9:9">
      <c r="I1006">
        <v>1377882.3528036736</v>
      </c>
    </row>
    <row r="1007" spans="9:9">
      <c r="I1007">
        <v>638343.16268934135</v>
      </c>
    </row>
    <row r="1008" spans="9:9">
      <c r="I1008">
        <v>346560.03382120794</v>
      </c>
    </row>
    <row r="1009" spans="9:9">
      <c r="I1009">
        <v>361473.7180566375</v>
      </c>
    </row>
    <row r="1010" spans="9:9">
      <c r="I1010">
        <v>1369113.927208144</v>
      </c>
    </row>
    <row r="1011" spans="9:9">
      <c r="I1011">
        <v>1061455.6529408614</v>
      </c>
    </row>
    <row r="1012" spans="9:9">
      <c r="I1012">
        <v>999273.24163256236</v>
      </c>
    </row>
    <row r="1013" spans="9:9">
      <c r="I1013">
        <v>1963515.4378836113</v>
      </c>
    </row>
    <row r="1014" spans="9:9">
      <c r="I1014">
        <v>1425687.9854493106</v>
      </c>
    </row>
    <row r="1015" spans="9:9">
      <c r="I1015">
        <v>728353.88975078147</v>
      </c>
    </row>
    <row r="1016" spans="9:9">
      <c r="I1016">
        <v>837109.90075531823</v>
      </c>
    </row>
    <row r="1017" spans="9:9">
      <c r="I1017">
        <v>1053693.4954983739</v>
      </c>
    </row>
    <row r="1018" spans="9:9">
      <c r="I1018">
        <v>1278406.4630050692</v>
      </c>
    </row>
    <row r="1019" spans="9:9">
      <c r="I1019">
        <v>872113.02803039271</v>
      </c>
    </row>
    <row r="1020" spans="9:9">
      <c r="I1020">
        <v>431254.03029823193</v>
      </c>
    </row>
    <row r="1021" spans="9:9">
      <c r="I1021">
        <v>585739.37649017305</v>
      </c>
    </row>
    <row r="1022" spans="9:9">
      <c r="I1022">
        <v>1581439.5271504582</v>
      </c>
    </row>
    <row r="1023" spans="9:9">
      <c r="I1023">
        <v>1321850.2135037174</v>
      </c>
    </row>
    <row r="1024" spans="9:9">
      <c r="I1024">
        <v>291757.47071547381</v>
      </c>
    </row>
    <row r="1025" spans="9:9">
      <c r="I1025">
        <v>1394152.761517386</v>
      </c>
    </row>
    <row r="1026" spans="9:9">
      <c r="I1026">
        <v>786022.71903932153</v>
      </c>
    </row>
    <row r="1027" spans="9:9">
      <c r="I1027">
        <v>783836.90704286029</v>
      </c>
    </row>
    <row r="1028" spans="9:9">
      <c r="I1028">
        <v>378329.93469364749</v>
      </c>
    </row>
    <row r="1029" spans="9:9">
      <c r="I1029">
        <v>797609.71090923063</v>
      </c>
    </row>
    <row r="1030" spans="9:9">
      <c r="I1030">
        <v>1548137.2678812786</v>
      </c>
    </row>
    <row r="1031" spans="9:9">
      <c r="I1031">
        <v>1068139.5406591771</v>
      </c>
    </row>
    <row r="1032" spans="9:9">
      <c r="I1032">
        <v>273911.58937737223</v>
      </c>
    </row>
    <row r="1033" spans="9:9">
      <c r="I1033">
        <v>691051.9038558132</v>
      </c>
    </row>
    <row r="1034" spans="9:9">
      <c r="I1034">
        <v>1912369.4232437455</v>
      </c>
    </row>
    <row r="1035" spans="9:9">
      <c r="I1035">
        <v>684918.86128526763</v>
      </c>
    </row>
    <row r="1036" spans="9:9">
      <c r="I1036">
        <v>1198890.7223945362</v>
      </c>
    </row>
    <row r="1037" spans="9:9">
      <c r="I1037">
        <v>2913517.8941161456</v>
      </c>
    </row>
    <row r="1038" spans="9:9">
      <c r="I1038">
        <v>548523.72537920089</v>
      </c>
    </row>
    <row r="1039" spans="9:9">
      <c r="I1039">
        <v>610594.01501074096</v>
      </c>
    </row>
    <row r="1040" spans="9:9">
      <c r="I1040">
        <v>2562313.998221064</v>
      </c>
    </row>
    <row r="1041" spans="9:9">
      <c r="I1041">
        <v>277685.65342105151</v>
      </c>
    </row>
    <row r="1042" spans="9:9">
      <c r="I1042">
        <v>1061211.4168939365</v>
      </c>
    </row>
    <row r="1043" spans="9:9">
      <c r="I1043">
        <v>1397408.077636614</v>
      </c>
    </row>
    <row r="1044" spans="9:9">
      <c r="I1044">
        <v>416437.09874634439</v>
      </c>
    </row>
    <row r="1045" spans="9:9">
      <c r="I1045">
        <v>815662.25218923553</v>
      </c>
    </row>
    <row r="1046" spans="9:9">
      <c r="I1046">
        <v>1622569.2611674094</v>
      </c>
    </row>
    <row r="1047" spans="9:9">
      <c r="I1047">
        <v>675683.58933999704</v>
      </c>
    </row>
    <row r="1048" spans="9:9">
      <c r="I1048">
        <v>1846300.2168667922</v>
      </c>
    </row>
    <row r="1049" spans="9:9">
      <c r="I1049">
        <v>533458.67912970856</v>
      </c>
    </row>
    <row r="1050" spans="9:9">
      <c r="I1050">
        <v>1782887.8624370405</v>
      </c>
    </row>
    <row r="1051" spans="9:9">
      <c r="I1051">
        <v>1673578.1536584385</v>
      </c>
    </row>
    <row r="1052" spans="9:9">
      <c r="I1052">
        <v>1054933.2189382399</v>
      </c>
    </row>
    <row r="1053" spans="9:9">
      <c r="I1053">
        <v>1022471.0087930795</v>
      </c>
    </row>
    <row r="1054" spans="9:9">
      <c r="I1054">
        <v>691855.84777062561</v>
      </c>
    </row>
    <row r="1055" spans="9:9">
      <c r="I1055">
        <v>1930956.5053380821</v>
      </c>
    </row>
    <row r="1056" spans="9:9">
      <c r="I1056">
        <v>1513223.3843626415</v>
      </c>
    </row>
    <row r="1057" spans="9:9">
      <c r="I1057">
        <v>883036.69777791307</v>
      </c>
    </row>
    <row r="1058" spans="9:9">
      <c r="I1058">
        <v>219754.29089092414</v>
      </c>
    </row>
  </sheetData>
  <mergeCells count="1">
    <mergeCell ref="D2:I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otstrap">
                <anchor moveWithCells="1">
                  <from>
                    <xdr:col>6</xdr:col>
                    <xdr:colOff>266700</xdr:colOff>
                    <xdr:row>52</xdr:row>
                    <xdr:rowOff>171450</xdr:rowOff>
                  </from>
                  <to>
                    <xdr:col>6</xdr:col>
                    <xdr:colOff>819150</xdr:colOff>
                    <xdr:row>54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/>
  <dimension ref="A3:K67"/>
  <sheetViews>
    <sheetView topLeftCell="A34" workbookViewId="0">
      <selection activeCell="C64" sqref="C64"/>
    </sheetView>
  </sheetViews>
  <sheetFormatPr defaultColWidth="12.7109375" defaultRowHeight="15"/>
  <cols>
    <col min="2" max="3" width="17.42578125" bestFit="1" customWidth="1"/>
    <col min="4" max="4" width="17.85546875" bestFit="1" customWidth="1"/>
    <col min="6" max="6" width="15" customWidth="1"/>
    <col min="8" max="8" width="17.28515625" bestFit="1" customWidth="1"/>
    <col min="9" max="9" width="18.42578125" bestFit="1" customWidth="1"/>
    <col min="10" max="10" width="17.28515625" bestFit="1" customWidth="1"/>
  </cols>
  <sheetData>
    <row r="3" spans="1:11">
      <c r="A3" s="93"/>
      <c r="B3" s="93"/>
      <c r="C3" s="93" t="s">
        <v>103</v>
      </c>
      <c r="D3" s="93"/>
      <c r="E3" s="93"/>
      <c r="F3" s="94"/>
      <c r="G3" s="93"/>
      <c r="H3" s="93"/>
      <c r="I3" s="93" t="s">
        <v>104</v>
      </c>
      <c r="J3" s="93"/>
      <c r="K3" s="93"/>
    </row>
    <row r="4" spans="1:11">
      <c r="A4" s="93"/>
      <c r="B4" s="93"/>
      <c r="C4" s="93"/>
      <c r="D4" s="93"/>
      <c r="E4" s="93"/>
      <c r="F4" s="94"/>
      <c r="G4" s="93"/>
      <c r="H4" s="93"/>
      <c r="I4" s="93"/>
      <c r="J4" s="93"/>
      <c r="K4" s="93"/>
    </row>
    <row r="5" spans="1:11">
      <c r="A5" s="93" t="s">
        <v>21</v>
      </c>
      <c r="B5" s="122" t="s">
        <v>7</v>
      </c>
      <c r="C5" s="122"/>
      <c r="D5" s="122"/>
      <c r="E5" s="122"/>
      <c r="F5" s="94"/>
      <c r="G5" s="93" t="s">
        <v>21</v>
      </c>
      <c r="H5" s="122" t="s">
        <v>7</v>
      </c>
      <c r="I5" s="122"/>
      <c r="J5" s="122"/>
      <c r="K5" s="122"/>
    </row>
    <row r="6" spans="1:11">
      <c r="A6" s="93"/>
      <c r="B6" s="122" t="s">
        <v>14</v>
      </c>
      <c r="C6" s="122"/>
      <c r="D6" s="122"/>
      <c r="E6" s="122"/>
      <c r="F6" s="94"/>
      <c r="G6" s="93"/>
      <c r="H6" s="122" t="s">
        <v>14</v>
      </c>
      <c r="I6" s="122"/>
      <c r="J6" s="122"/>
      <c r="K6" s="122"/>
    </row>
    <row r="7" spans="1:11">
      <c r="A7" s="93" t="s">
        <v>3</v>
      </c>
      <c r="B7" s="93">
        <v>25</v>
      </c>
      <c r="C7" s="93">
        <v>35</v>
      </c>
      <c r="D7" s="93">
        <v>45</v>
      </c>
      <c r="E7" s="93">
        <v>55</v>
      </c>
      <c r="F7" s="94"/>
      <c r="G7" s="93" t="s">
        <v>3</v>
      </c>
      <c r="H7" s="93">
        <v>25</v>
      </c>
      <c r="I7" s="93">
        <v>35</v>
      </c>
      <c r="J7" s="93">
        <v>45</v>
      </c>
      <c r="K7" s="93">
        <v>55</v>
      </c>
    </row>
    <row r="8" spans="1:11">
      <c r="A8" s="93">
        <v>55</v>
      </c>
      <c r="B8" s="93">
        <v>724913</v>
      </c>
      <c r="C8" s="93">
        <v>353147</v>
      </c>
      <c r="D8" s="93">
        <v>122989</v>
      </c>
      <c r="E8" s="93">
        <v>0</v>
      </c>
      <c r="F8" s="94"/>
      <c r="G8" s="93">
        <v>55</v>
      </c>
      <c r="H8" s="93">
        <v>511539</v>
      </c>
      <c r="I8" s="93">
        <v>275815</v>
      </c>
      <c r="J8" s="93">
        <v>111563</v>
      </c>
      <c r="K8" s="93">
        <v>0</v>
      </c>
    </row>
    <row r="9" spans="1:11">
      <c r="A9" s="93">
        <v>65</v>
      </c>
      <c r="B9" s="93">
        <v>1964692</v>
      </c>
      <c r="C9" s="93">
        <v>982700</v>
      </c>
      <c r="D9" s="93">
        <v>469745</v>
      </c>
      <c r="E9" s="93">
        <v>170720</v>
      </c>
      <c r="F9" s="94"/>
      <c r="G9" s="93">
        <v>65</v>
      </c>
      <c r="H9" s="93">
        <v>1163362</v>
      </c>
      <c r="I9" s="93">
        <v>692555</v>
      </c>
      <c r="J9" s="93">
        <v>368553</v>
      </c>
      <c r="K9" s="93">
        <v>149248</v>
      </c>
    </row>
    <row r="10" spans="1:11">
      <c r="A10" s="93">
        <v>75</v>
      </c>
      <c r="B10" s="93">
        <v>5116003</v>
      </c>
      <c r="C10" s="93">
        <v>2631449</v>
      </c>
      <c r="D10" s="93">
        <v>1347835</v>
      </c>
      <c r="E10" s="93">
        <v>618635</v>
      </c>
      <c r="F10" s="94"/>
      <c r="G10" s="93">
        <v>75</v>
      </c>
      <c r="H10" s="93">
        <v>2454875</v>
      </c>
      <c r="I10" s="93">
        <v>1544324</v>
      </c>
      <c r="J10" s="93">
        <v>926008</v>
      </c>
      <c r="K10" s="93">
        <v>494365</v>
      </c>
    </row>
    <row r="11" spans="1:11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</row>
    <row r="12" spans="1:11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</row>
    <row r="13" spans="1:11">
      <c r="A13" s="93"/>
      <c r="B13" s="93"/>
      <c r="C13" s="93" t="s">
        <v>105</v>
      </c>
      <c r="D13" s="93"/>
      <c r="E13" s="93"/>
      <c r="F13" s="94"/>
      <c r="G13" s="93"/>
      <c r="H13" s="93"/>
      <c r="I13" s="93" t="s">
        <v>106</v>
      </c>
      <c r="J13" s="93"/>
      <c r="K13" s="93"/>
    </row>
    <row r="14" spans="1:11">
      <c r="A14" s="93"/>
      <c r="B14" s="93"/>
      <c r="C14" s="93"/>
      <c r="D14" s="93"/>
      <c r="E14" s="93"/>
      <c r="F14" s="94"/>
      <c r="G14" s="93"/>
      <c r="H14" s="93"/>
      <c r="I14" s="93"/>
      <c r="J14" s="93"/>
      <c r="K14" s="93"/>
    </row>
    <row r="15" spans="1:11">
      <c r="A15" s="93" t="s">
        <v>21</v>
      </c>
      <c r="B15" s="122" t="s">
        <v>7</v>
      </c>
      <c r="C15" s="122"/>
      <c r="D15" s="122"/>
      <c r="E15" s="122"/>
      <c r="F15" s="94"/>
      <c r="G15" s="93" t="s">
        <v>21</v>
      </c>
      <c r="H15" s="122" t="s">
        <v>7</v>
      </c>
      <c r="I15" s="122"/>
      <c r="J15" s="122"/>
      <c r="K15" s="122"/>
    </row>
    <row r="16" spans="1:11">
      <c r="A16" s="93"/>
      <c r="B16" s="122" t="s">
        <v>14</v>
      </c>
      <c r="C16" s="122"/>
      <c r="D16" s="122"/>
      <c r="E16" s="122"/>
      <c r="F16" s="94"/>
      <c r="G16" s="93"/>
      <c r="H16" s="122" t="s">
        <v>14</v>
      </c>
      <c r="I16" s="122"/>
      <c r="J16" s="122"/>
      <c r="K16" s="122"/>
    </row>
    <row r="17" spans="1:11">
      <c r="A17" s="93" t="s">
        <v>3</v>
      </c>
      <c r="B17" s="93">
        <v>25</v>
      </c>
      <c r="C17" s="93">
        <v>35</v>
      </c>
      <c r="D17" s="93">
        <v>45</v>
      </c>
      <c r="E17" s="93">
        <v>55</v>
      </c>
      <c r="F17" s="94"/>
      <c r="G17" s="93" t="s">
        <v>3</v>
      </c>
      <c r="H17" s="93">
        <v>25</v>
      </c>
      <c r="I17" s="93">
        <v>35</v>
      </c>
      <c r="J17" s="93">
        <v>45</v>
      </c>
      <c r="K17" s="93">
        <v>55</v>
      </c>
    </row>
    <row r="18" spans="1:11">
      <c r="A18" s="93">
        <v>55</v>
      </c>
      <c r="B18" s="93">
        <v>586373</v>
      </c>
      <c r="C18" s="93">
        <v>299167</v>
      </c>
      <c r="D18" s="93">
        <v>116359</v>
      </c>
      <c r="E18" s="93">
        <v>0</v>
      </c>
      <c r="F18" s="94"/>
      <c r="G18" s="93">
        <v>55</v>
      </c>
      <c r="H18" s="93">
        <v>448748</v>
      </c>
      <c r="I18" s="93">
        <v>238196</v>
      </c>
      <c r="J18" s="93">
        <v>103508</v>
      </c>
      <c r="K18" s="93">
        <v>0</v>
      </c>
    </row>
    <row r="19" spans="1:11">
      <c r="A19" s="93">
        <v>65</v>
      </c>
      <c r="B19" s="93">
        <v>1394437</v>
      </c>
      <c r="C19" s="93">
        <v>788036</v>
      </c>
      <c r="D19" s="93">
        <v>402056</v>
      </c>
      <c r="E19" s="93">
        <v>156377</v>
      </c>
      <c r="F19" s="94"/>
      <c r="G19" s="93">
        <v>65</v>
      </c>
      <c r="H19" s="93">
        <v>910531</v>
      </c>
      <c r="I19" s="93">
        <v>576208</v>
      </c>
      <c r="J19" s="93">
        <v>332757</v>
      </c>
      <c r="K19" s="93">
        <v>139382</v>
      </c>
    </row>
    <row r="20" spans="1:11">
      <c r="A20" s="93">
        <v>75</v>
      </c>
      <c r="B20" s="93">
        <v>3154356</v>
      </c>
      <c r="C20" s="93">
        <v>1874007</v>
      </c>
      <c r="D20" s="93">
        <v>1059054</v>
      </c>
      <c r="E20" s="93">
        <v>540330</v>
      </c>
      <c r="F20" s="94"/>
      <c r="G20" s="93">
        <v>75</v>
      </c>
      <c r="H20" s="93">
        <v>1747311</v>
      </c>
      <c r="I20" s="93">
        <v>1204997</v>
      </c>
      <c r="J20" s="93">
        <v>770935</v>
      </c>
      <c r="K20" s="93">
        <v>431062</v>
      </c>
    </row>
    <row r="21" spans="1:11" ht="15.75" thickBot="1"/>
    <row r="22" spans="1:11" ht="16.5" thickTop="1" thickBot="1">
      <c r="D22" s="123" t="s">
        <v>107</v>
      </c>
      <c r="E22" s="100">
        <v>14.755301713282661</v>
      </c>
    </row>
    <row r="23" spans="1:11" ht="16.5" thickTop="1" thickBot="1">
      <c r="D23" s="123"/>
      <c r="E23" s="100">
        <v>12.083730124478894</v>
      </c>
    </row>
    <row r="24" spans="1:11" ht="16.5" thickTop="1" thickBot="1">
      <c r="D24" s="123"/>
      <c r="E24" s="100">
        <v>8.8246579718737017</v>
      </c>
    </row>
    <row r="25" spans="1:11" ht="15.75" thickTop="1"/>
    <row r="26" spans="1:11">
      <c r="A26" s="94"/>
      <c r="B26" s="94"/>
      <c r="C26" s="94" t="s">
        <v>103</v>
      </c>
      <c r="D26" s="94"/>
      <c r="E26" s="94"/>
      <c r="F26" s="93"/>
      <c r="G26" s="94"/>
      <c r="H26" s="94"/>
      <c r="I26" s="94" t="s">
        <v>104</v>
      </c>
      <c r="J26" s="94"/>
      <c r="K26" s="94"/>
    </row>
    <row r="27" spans="1:11">
      <c r="A27" s="94"/>
      <c r="B27" s="94"/>
      <c r="C27" s="94"/>
      <c r="D27" s="94"/>
      <c r="E27" s="94"/>
      <c r="F27" s="93"/>
      <c r="G27" s="94"/>
      <c r="H27" s="94"/>
      <c r="I27" s="94"/>
      <c r="J27" s="94"/>
      <c r="K27" s="94"/>
    </row>
    <row r="28" spans="1:11">
      <c r="A28" s="94" t="s">
        <v>21</v>
      </c>
      <c r="B28" s="124" t="s">
        <v>23</v>
      </c>
      <c r="C28" s="124"/>
      <c r="D28" s="124"/>
      <c r="E28" s="124"/>
      <c r="F28" s="93"/>
      <c r="G28" s="94" t="s">
        <v>21</v>
      </c>
      <c r="H28" s="124" t="s">
        <v>23</v>
      </c>
      <c r="I28" s="124"/>
      <c r="J28" s="124"/>
      <c r="K28" s="124"/>
    </row>
    <row r="29" spans="1:11">
      <c r="A29" s="94"/>
      <c r="B29" s="124" t="s">
        <v>14</v>
      </c>
      <c r="C29" s="124"/>
      <c r="D29" s="124"/>
      <c r="E29" s="124"/>
      <c r="F29" s="93"/>
      <c r="G29" s="94"/>
      <c r="H29" s="124" t="s">
        <v>14</v>
      </c>
      <c r="I29" s="124"/>
      <c r="J29" s="124"/>
      <c r="K29" s="124"/>
    </row>
    <row r="30" spans="1:11">
      <c r="A30" s="94" t="s">
        <v>3</v>
      </c>
      <c r="B30" s="94">
        <v>25</v>
      </c>
      <c r="C30" s="94">
        <v>35</v>
      </c>
      <c r="D30" s="94">
        <v>45</v>
      </c>
      <c r="E30" s="94">
        <v>55</v>
      </c>
      <c r="F30" s="93"/>
      <c r="G30" s="94" t="s">
        <v>3</v>
      </c>
      <c r="H30" s="94">
        <v>25</v>
      </c>
      <c r="I30" s="94">
        <v>35</v>
      </c>
      <c r="J30" s="94">
        <v>45</v>
      </c>
      <c r="K30" s="94">
        <v>55</v>
      </c>
    </row>
    <row r="31" spans="1:11">
      <c r="A31" s="94">
        <v>55</v>
      </c>
      <c r="B31" s="101">
        <f>B8/$E$22</f>
        <v>49128.985234333522</v>
      </c>
      <c r="C31" s="101">
        <f>C8/$E$22</f>
        <v>23933.56685360751</v>
      </c>
      <c r="D31" s="101">
        <f>D8/$E$22</f>
        <v>8335.2412841064324</v>
      </c>
      <c r="E31" s="101">
        <v>0</v>
      </c>
      <c r="F31" s="93"/>
      <c r="G31" s="94">
        <v>55</v>
      </c>
      <c r="H31" s="101">
        <f>H8/$E$22</f>
        <v>34668.149112770414</v>
      </c>
      <c r="I31" s="101">
        <f t="shared" ref="I31:J31" si="0">I8/$E$22</f>
        <v>18692.603198463403</v>
      </c>
      <c r="J31" s="101">
        <f t="shared" si="0"/>
        <v>7560.8755529255941</v>
      </c>
      <c r="K31" s="101">
        <v>0</v>
      </c>
    </row>
    <row r="32" spans="1:11">
      <c r="A32" s="94">
        <v>65</v>
      </c>
      <c r="B32" s="101">
        <f>B9/$E$23</f>
        <v>162589.86089237296</v>
      </c>
      <c r="C32" s="101">
        <f t="shared" ref="C32:E32" si="1">C9/$E$23</f>
        <v>81324.226035905333</v>
      </c>
      <c r="D32" s="101">
        <f t="shared" si="1"/>
        <v>38874.171730168258</v>
      </c>
      <c r="E32" s="101">
        <f t="shared" si="1"/>
        <v>14128.087787574801</v>
      </c>
      <c r="F32" s="93"/>
      <c r="G32" s="94">
        <v>65</v>
      </c>
      <c r="H32" s="101">
        <f>H9/$E$23</f>
        <v>96275.073012702647</v>
      </c>
      <c r="I32" s="101">
        <f t="shared" ref="I32:K32" si="2">I9/$E$23</f>
        <v>57313.01451337785</v>
      </c>
      <c r="J32" s="101">
        <f t="shared" si="2"/>
        <v>30499.936377542501</v>
      </c>
      <c r="K32" s="101">
        <f t="shared" si="2"/>
        <v>12351.153034910754</v>
      </c>
    </row>
    <row r="33" spans="1:11">
      <c r="A33" s="94">
        <v>75</v>
      </c>
      <c r="B33" s="101">
        <f>B10/$E$24</f>
        <v>579739.52263146359</v>
      </c>
      <c r="C33" s="101">
        <f t="shared" ref="C33:E33" si="3">C10/$E$24</f>
        <v>298192.74677693553</v>
      </c>
      <c r="D33" s="101">
        <f t="shared" si="3"/>
        <v>152735.09798293293</v>
      </c>
      <c r="E33" s="101">
        <f t="shared" si="3"/>
        <v>70103.000249045101</v>
      </c>
      <c r="F33" s="93"/>
      <c r="G33" s="94">
        <v>75</v>
      </c>
      <c r="H33" s="101">
        <f>H10/$E$24</f>
        <v>278183.58601820882</v>
      </c>
      <c r="I33" s="101">
        <f t="shared" ref="I33:K33" si="4">I10/$E$24</f>
        <v>175001.00342949614</v>
      </c>
      <c r="J33" s="101">
        <f t="shared" si="4"/>
        <v>104934.1518902386</v>
      </c>
      <c r="K33" s="101">
        <f t="shared" si="4"/>
        <v>56020.86806940956</v>
      </c>
    </row>
    <row r="34" spans="1:11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</row>
    <row r="35" spans="1:11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</row>
    <row r="36" spans="1:11">
      <c r="A36" s="94"/>
      <c r="B36" s="94"/>
      <c r="C36" s="94" t="s">
        <v>105</v>
      </c>
      <c r="D36" s="94"/>
      <c r="E36" s="94"/>
      <c r="F36" s="93"/>
      <c r="G36" s="94"/>
      <c r="H36" s="94"/>
      <c r="I36" s="94" t="s">
        <v>106</v>
      </c>
      <c r="J36" s="94"/>
      <c r="K36" s="94"/>
    </row>
    <row r="37" spans="1:11">
      <c r="A37" s="94"/>
      <c r="B37" s="94"/>
      <c r="C37" s="94"/>
      <c r="D37" s="94"/>
      <c r="E37" s="94"/>
      <c r="F37" s="93"/>
      <c r="G37" s="94"/>
      <c r="H37" s="94"/>
      <c r="I37" s="94"/>
      <c r="J37" s="94"/>
      <c r="K37" s="94"/>
    </row>
    <row r="38" spans="1:11">
      <c r="A38" s="94" t="s">
        <v>21</v>
      </c>
      <c r="B38" s="124" t="s">
        <v>23</v>
      </c>
      <c r="C38" s="124"/>
      <c r="D38" s="124"/>
      <c r="E38" s="124"/>
      <c r="F38" s="93"/>
      <c r="G38" s="94" t="s">
        <v>21</v>
      </c>
      <c r="H38" s="124" t="s">
        <v>23</v>
      </c>
      <c r="I38" s="124"/>
      <c r="J38" s="124"/>
      <c r="K38" s="124"/>
    </row>
    <row r="39" spans="1:11">
      <c r="A39" s="94"/>
      <c r="B39" s="124" t="s">
        <v>14</v>
      </c>
      <c r="C39" s="124"/>
      <c r="D39" s="124"/>
      <c r="E39" s="124"/>
      <c r="F39" s="93"/>
      <c r="G39" s="94"/>
      <c r="H39" s="124" t="s">
        <v>14</v>
      </c>
      <c r="I39" s="124"/>
      <c r="J39" s="124"/>
      <c r="K39" s="124"/>
    </row>
    <row r="40" spans="1:11">
      <c r="A40" s="94" t="s">
        <v>3</v>
      </c>
      <c r="B40" s="94">
        <v>25</v>
      </c>
      <c r="C40" s="94">
        <v>35</v>
      </c>
      <c r="D40" s="94">
        <v>45</v>
      </c>
      <c r="E40" s="94">
        <v>55</v>
      </c>
      <c r="F40" s="93"/>
      <c r="G40" s="94" t="s">
        <v>3</v>
      </c>
      <c r="H40" s="94">
        <v>25</v>
      </c>
      <c r="I40" s="94">
        <v>35</v>
      </c>
      <c r="J40" s="94">
        <v>45</v>
      </c>
      <c r="K40" s="94">
        <v>55</v>
      </c>
    </row>
    <row r="41" spans="1:11">
      <c r="A41" s="94">
        <v>55</v>
      </c>
      <c r="B41" s="101">
        <f>B18/$E$22</f>
        <v>39739.817686828421</v>
      </c>
      <c r="C41" s="101">
        <f t="shared" ref="C41:D41" si="5">C18/$E$22</f>
        <v>20275.220785942394</v>
      </c>
      <c r="D41" s="101">
        <f t="shared" si="5"/>
        <v>7885.9112650508605</v>
      </c>
      <c r="E41" s="101">
        <v>0</v>
      </c>
      <c r="F41" s="93"/>
      <c r="G41" s="94">
        <v>55</v>
      </c>
      <c r="H41" s="101">
        <f>H18/$E$22</f>
        <v>30412.661748288003</v>
      </c>
      <c r="I41" s="101">
        <f t="shared" ref="I41:J41" si="6">I18/$E$22</f>
        <v>16143.078916887003</v>
      </c>
      <c r="J41" s="101">
        <f t="shared" si="6"/>
        <v>7014.9700772856804</v>
      </c>
      <c r="K41" s="101">
        <v>0</v>
      </c>
    </row>
    <row r="42" spans="1:11">
      <c r="A42" s="94">
        <v>65</v>
      </c>
      <c r="B42" s="101">
        <f>B19/$E$23</f>
        <v>115397.89333553446</v>
      </c>
      <c r="C42" s="101">
        <f t="shared" ref="C42:E42" si="7">C19/$E$23</f>
        <v>65214.630903053519</v>
      </c>
      <c r="D42" s="101">
        <f t="shared" si="7"/>
        <v>33272.50740113153</v>
      </c>
      <c r="E42" s="101">
        <f t="shared" si="7"/>
        <v>12941.119868542553</v>
      </c>
      <c r="F42" s="93"/>
      <c r="G42" s="94">
        <v>65</v>
      </c>
      <c r="H42" s="101">
        <f>H19/$E$23</f>
        <v>75351.815260709176</v>
      </c>
      <c r="I42" s="101">
        <f t="shared" ref="I42:K42" si="8">I19/$E$23</f>
        <v>47684.613448353455</v>
      </c>
      <c r="J42" s="101">
        <f t="shared" si="8"/>
        <v>27537.606068006258</v>
      </c>
      <c r="K42" s="101">
        <f t="shared" si="8"/>
        <v>11534.683294328439</v>
      </c>
    </row>
    <row r="43" spans="1:11">
      <c r="A43" s="94">
        <v>75</v>
      </c>
      <c r="B43" s="101">
        <f>B20/$E$24</f>
        <v>357447.96116219892</v>
      </c>
      <c r="C43" s="101">
        <f t="shared" ref="C43:E43" si="9">C20/$E$24</f>
        <v>212360.29837903171</v>
      </c>
      <c r="D43" s="101">
        <f t="shared" si="9"/>
        <v>120010.77020497098</v>
      </c>
      <c r="E43" s="101">
        <f t="shared" si="9"/>
        <v>61229.568525166767</v>
      </c>
      <c r="F43" s="93"/>
      <c r="G43" s="94">
        <v>75</v>
      </c>
      <c r="H43" s="101">
        <f>H20/$E$24</f>
        <v>198003.25469486733</v>
      </c>
      <c r="I43" s="101">
        <f t="shared" ref="I43:K43" si="10">I20/$E$24</f>
        <v>136548.86159221287</v>
      </c>
      <c r="J43" s="101">
        <f t="shared" si="10"/>
        <v>87361.459498731216</v>
      </c>
      <c r="K43" s="101">
        <f t="shared" si="10"/>
        <v>48847.445575103062</v>
      </c>
    </row>
    <row r="46" spans="1:11">
      <c r="A46" s="125" t="s">
        <v>130</v>
      </c>
      <c r="B46" s="125"/>
      <c r="C46" s="125"/>
      <c r="D46" s="125"/>
      <c r="E46" s="125"/>
      <c r="F46" s="125"/>
      <c r="G46" s="125"/>
      <c r="H46" s="125"/>
      <c r="I46" s="125"/>
      <c r="J46" s="125"/>
      <c r="K46" s="125"/>
    </row>
    <row r="48" spans="1:11">
      <c r="A48" s="93"/>
      <c r="B48" s="93"/>
      <c r="C48" s="93" t="s">
        <v>103</v>
      </c>
      <c r="D48" s="93"/>
      <c r="E48" s="93"/>
      <c r="F48" s="94"/>
      <c r="G48" s="93"/>
      <c r="H48" s="93"/>
      <c r="I48" s="93" t="s">
        <v>104</v>
      </c>
      <c r="J48" s="93"/>
      <c r="K48" s="93"/>
    </row>
    <row r="49" spans="1:11">
      <c r="A49" s="93"/>
      <c r="B49" s="93"/>
      <c r="C49" s="93"/>
      <c r="D49" s="93"/>
      <c r="E49" s="93"/>
      <c r="F49" s="94"/>
      <c r="G49" s="93"/>
      <c r="H49" s="93"/>
      <c r="I49" s="93"/>
      <c r="J49" s="93"/>
      <c r="K49" s="93"/>
    </row>
    <row r="50" spans="1:11">
      <c r="A50" s="93" t="s">
        <v>21</v>
      </c>
      <c r="B50" s="122" t="s">
        <v>7</v>
      </c>
      <c r="C50" s="122"/>
      <c r="D50" s="122"/>
      <c r="E50" s="122"/>
      <c r="F50" s="94"/>
      <c r="G50" s="93" t="s">
        <v>21</v>
      </c>
      <c r="H50" s="122" t="s">
        <v>7</v>
      </c>
      <c r="I50" s="122"/>
      <c r="J50" s="122"/>
      <c r="K50" s="122"/>
    </row>
    <row r="51" spans="1:11">
      <c r="A51" s="93"/>
      <c r="B51" s="122" t="s">
        <v>108</v>
      </c>
      <c r="C51" s="122"/>
      <c r="D51" s="122"/>
      <c r="E51" s="122"/>
      <c r="F51" s="94"/>
      <c r="G51" s="93"/>
      <c r="H51" s="122" t="s">
        <v>14</v>
      </c>
      <c r="I51" s="122"/>
      <c r="J51" s="122"/>
      <c r="K51" s="122"/>
    </row>
    <row r="52" spans="1:11">
      <c r="A52" s="93" t="s">
        <v>3</v>
      </c>
      <c r="B52" s="93">
        <v>25</v>
      </c>
      <c r="C52" s="93">
        <v>35</v>
      </c>
      <c r="D52" s="93">
        <v>45</v>
      </c>
      <c r="E52" s="93"/>
      <c r="F52" s="94"/>
      <c r="G52" s="93" t="s">
        <v>3</v>
      </c>
      <c r="H52" s="93">
        <v>25</v>
      </c>
      <c r="I52" s="93">
        <v>35</v>
      </c>
      <c r="J52" s="93">
        <v>45</v>
      </c>
      <c r="K52" s="93"/>
    </row>
    <row r="53" spans="1:11">
      <c r="A53" s="93">
        <v>55</v>
      </c>
      <c r="B53" s="93" t="s">
        <v>112</v>
      </c>
      <c r="C53" s="93" t="s">
        <v>115</v>
      </c>
      <c r="D53" s="93" t="s">
        <v>118</v>
      </c>
      <c r="E53" s="93"/>
      <c r="F53" s="94"/>
      <c r="G53" s="93">
        <v>55</v>
      </c>
      <c r="H53" s="93"/>
      <c r="I53" s="93"/>
      <c r="J53" s="93"/>
      <c r="K53" s="93"/>
    </row>
    <row r="54" spans="1:11">
      <c r="A54" s="93">
        <v>65</v>
      </c>
      <c r="B54" s="93" t="s">
        <v>113</v>
      </c>
      <c r="C54" s="93" t="s">
        <v>116</v>
      </c>
      <c r="D54" s="93" t="s">
        <v>119</v>
      </c>
      <c r="E54" s="93"/>
      <c r="F54" s="94"/>
      <c r="G54" s="93">
        <v>65</v>
      </c>
      <c r="H54" s="93"/>
      <c r="I54" s="93"/>
      <c r="J54" s="93"/>
      <c r="K54" s="93"/>
    </row>
    <row r="55" spans="1:11">
      <c r="A55" s="93">
        <v>75</v>
      </c>
      <c r="B55" s="93" t="s">
        <v>114</v>
      </c>
      <c r="C55" s="93" t="s">
        <v>117</v>
      </c>
      <c r="D55" s="93" t="s">
        <v>120</v>
      </c>
      <c r="E55" s="93"/>
      <c r="F55" s="94"/>
      <c r="G55" s="93">
        <v>75</v>
      </c>
      <c r="H55" s="93"/>
      <c r="I55" s="93"/>
      <c r="J55" s="93"/>
      <c r="K55" s="93"/>
    </row>
    <row r="56" spans="1:11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</row>
    <row r="57" spans="1:11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</row>
    <row r="58" spans="1:11">
      <c r="A58" s="93"/>
      <c r="B58" s="93"/>
      <c r="C58" s="93" t="s">
        <v>105</v>
      </c>
      <c r="D58" s="93"/>
      <c r="E58" s="93"/>
      <c r="F58" s="94"/>
      <c r="G58" s="93"/>
      <c r="H58" s="93"/>
      <c r="I58" s="93" t="s">
        <v>106</v>
      </c>
      <c r="J58" s="93"/>
      <c r="K58" s="93"/>
    </row>
    <row r="59" spans="1:11">
      <c r="A59" s="93"/>
      <c r="B59" s="93"/>
      <c r="C59" s="93"/>
      <c r="D59" s="93"/>
      <c r="E59" s="93"/>
      <c r="F59" s="94"/>
      <c r="G59" s="93"/>
      <c r="H59" s="93"/>
      <c r="I59" s="93"/>
      <c r="J59" s="93"/>
      <c r="K59" s="93"/>
    </row>
    <row r="60" spans="1:11">
      <c r="A60" s="93" t="s">
        <v>21</v>
      </c>
      <c r="B60" s="122" t="s">
        <v>7</v>
      </c>
      <c r="C60" s="122"/>
      <c r="D60" s="122"/>
      <c r="E60" s="122"/>
      <c r="F60" s="94"/>
      <c r="G60" s="93" t="s">
        <v>21</v>
      </c>
      <c r="H60" s="122" t="s">
        <v>7</v>
      </c>
      <c r="I60" s="122"/>
      <c r="J60" s="122"/>
      <c r="K60" s="122"/>
    </row>
    <row r="61" spans="1:11">
      <c r="A61" s="93"/>
      <c r="B61" s="122" t="s">
        <v>108</v>
      </c>
      <c r="C61" s="122"/>
      <c r="D61" s="122"/>
      <c r="E61" s="122"/>
      <c r="F61" s="94"/>
      <c r="G61" s="93"/>
      <c r="H61" s="122" t="s">
        <v>108</v>
      </c>
      <c r="I61" s="122"/>
      <c r="J61" s="122"/>
      <c r="K61" s="122"/>
    </row>
    <row r="62" spans="1:11">
      <c r="A62" s="93" t="s">
        <v>3</v>
      </c>
      <c r="B62" s="93">
        <v>25</v>
      </c>
      <c r="C62" s="93">
        <v>35</v>
      </c>
      <c r="D62" s="93">
        <v>45</v>
      </c>
      <c r="E62" s="93"/>
      <c r="F62" s="94"/>
      <c r="G62" s="93" t="s">
        <v>3</v>
      </c>
      <c r="H62" s="93">
        <v>25</v>
      </c>
      <c r="I62" s="93">
        <v>35</v>
      </c>
      <c r="J62" s="93">
        <v>45</v>
      </c>
      <c r="K62" s="93"/>
    </row>
    <row r="63" spans="1:11">
      <c r="A63" s="93">
        <v>55</v>
      </c>
      <c r="B63" s="104">
        <v>430649</v>
      </c>
      <c r="C63" s="104">
        <v>270105.2</v>
      </c>
      <c r="D63" s="104">
        <v>125331.1</v>
      </c>
      <c r="E63" s="93"/>
      <c r="F63" s="94"/>
      <c r="G63" s="93">
        <v>55</v>
      </c>
      <c r="H63" s="93" t="s">
        <v>121</v>
      </c>
      <c r="I63" s="93" t="s">
        <v>124</v>
      </c>
      <c r="J63" s="93" t="s">
        <v>127</v>
      </c>
      <c r="K63" s="93"/>
    </row>
    <row r="64" spans="1:11">
      <c r="A64" s="93">
        <v>65</v>
      </c>
      <c r="B64" s="105">
        <v>819203.50224297831</v>
      </c>
      <c r="C64" s="105">
        <v>334184.93960987887</v>
      </c>
      <c r="D64" s="105">
        <v>122210.15963383732</v>
      </c>
      <c r="E64" s="93"/>
      <c r="F64" s="94"/>
      <c r="G64" s="93">
        <v>65</v>
      </c>
      <c r="H64" s="93" t="s">
        <v>122</v>
      </c>
      <c r="I64" s="93" t="s">
        <v>125</v>
      </c>
      <c r="J64" s="93" t="s">
        <v>128</v>
      </c>
      <c r="K64" s="93"/>
    </row>
    <row r="65" spans="1:11">
      <c r="A65" s="93">
        <v>75</v>
      </c>
      <c r="B65" s="104">
        <v>2747105</v>
      </c>
      <c r="C65" s="104">
        <v>2039310</v>
      </c>
      <c r="D65" s="104">
        <v>1401039</v>
      </c>
      <c r="E65" s="93"/>
      <c r="F65" s="94"/>
      <c r="G65" s="93">
        <v>75</v>
      </c>
      <c r="H65" s="93" t="s">
        <v>123</v>
      </c>
      <c r="I65" s="93" t="s">
        <v>126</v>
      </c>
      <c r="J65" s="93" t="s">
        <v>129</v>
      </c>
      <c r="K65" s="93"/>
    </row>
    <row r="67" spans="1:11">
      <c r="B67" s="93">
        <v>50000</v>
      </c>
      <c r="C67" s="93">
        <v>0.04</v>
      </c>
      <c r="D67" s="93">
        <v>7.7600000000000002E-2</v>
      </c>
      <c r="E67">
        <f>(1.0424)/(1+D67)</f>
        <v>0.9673348181143282</v>
      </c>
      <c r="F67" s="1">
        <f>B67*C67*(1+D67)^39*(1-E67^40)/(1-E67)</f>
        <v>830119.01850474125</v>
      </c>
    </row>
  </sheetData>
  <mergeCells count="26">
    <mergeCell ref="B51:E51"/>
    <mergeCell ref="H51:K51"/>
    <mergeCell ref="B60:E60"/>
    <mergeCell ref="H60:K60"/>
    <mergeCell ref="B61:E61"/>
    <mergeCell ref="H61:K61"/>
    <mergeCell ref="B50:E50"/>
    <mergeCell ref="H50:K50"/>
    <mergeCell ref="B16:E16"/>
    <mergeCell ref="H16:K16"/>
    <mergeCell ref="D22:D24"/>
    <mergeCell ref="B28:E28"/>
    <mergeCell ref="H28:K28"/>
    <mergeCell ref="B29:E29"/>
    <mergeCell ref="H29:K29"/>
    <mergeCell ref="B38:E38"/>
    <mergeCell ref="H38:K38"/>
    <mergeCell ref="B39:E39"/>
    <mergeCell ref="H39:K39"/>
    <mergeCell ref="A46:K46"/>
    <mergeCell ref="B5:E5"/>
    <mergeCell ref="H5:K5"/>
    <mergeCell ref="B6:E6"/>
    <mergeCell ref="H6:K6"/>
    <mergeCell ref="B15:E15"/>
    <mergeCell ref="H15:K1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FFC000"/>
  </sheetPr>
  <dimension ref="A3:N1080"/>
  <sheetViews>
    <sheetView topLeftCell="A28" workbookViewId="0">
      <selection activeCell="F69" sqref="F69"/>
    </sheetView>
  </sheetViews>
  <sheetFormatPr defaultColWidth="12.7109375" defaultRowHeight="15"/>
  <cols>
    <col min="1" max="1" width="14" customWidth="1"/>
    <col min="2" max="2" width="19.140625" customWidth="1"/>
    <col min="3" max="3" width="19.7109375" customWidth="1"/>
    <col min="4" max="4" width="20.85546875" customWidth="1"/>
    <col min="6" max="6" width="15" customWidth="1"/>
    <col min="8" max="8" width="17.28515625" bestFit="1" customWidth="1"/>
    <col min="9" max="9" width="18.42578125" bestFit="1" customWidth="1"/>
    <col min="10" max="10" width="17.28515625" bestFit="1" customWidth="1"/>
  </cols>
  <sheetData>
    <row r="3" spans="1:11">
      <c r="A3" s="93"/>
      <c r="B3" s="93"/>
      <c r="C3" s="93" t="s">
        <v>103</v>
      </c>
      <c r="D3" s="93"/>
      <c r="E3" s="93"/>
      <c r="F3" s="94"/>
      <c r="G3" s="93"/>
      <c r="H3" s="93"/>
      <c r="I3" s="93" t="s">
        <v>104</v>
      </c>
      <c r="J3" s="93"/>
      <c r="K3" s="93"/>
    </row>
    <row r="4" spans="1:11">
      <c r="A4" s="93"/>
      <c r="B4" s="93"/>
      <c r="C4" s="93"/>
      <c r="D4" s="93"/>
      <c r="E4" s="93"/>
      <c r="F4" s="94"/>
      <c r="G4" s="93"/>
      <c r="H4" s="93"/>
      <c r="I4" s="93"/>
      <c r="J4" s="93"/>
      <c r="K4" s="93"/>
    </row>
    <row r="5" spans="1:11">
      <c r="A5" s="93" t="s">
        <v>21</v>
      </c>
      <c r="B5" s="122" t="s">
        <v>7</v>
      </c>
      <c r="C5" s="122"/>
      <c r="D5" s="122"/>
      <c r="E5" s="122"/>
      <c r="F5" s="94"/>
      <c r="G5" s="93" t="s">
        <v>21</v>
      </c>
      <c r="H5" s="122" t="s">
        <v>7</v>
      </c>
      <c r="I5" s="122"/>
      <c r="J5" s="122"/>
      <c r="K5" s="122"/>
    </row>
    <row r="6" spans="1:11">
      <c r="A6" s="93"/>
      <c r="B6" s="122" t="s">
        <v>14</v>
      </c>
      <c r="C6" s="122"/>
      <c r="D6" s="122"/>
      <c r="E6" s="122"/>
      <c r="F6" s="94"/>
      <c r="G6" s="93"/>
      <c r="H6" s="122" t="s">
        <v>14</v>
      </c>
      <c r="I6" s="122"/>
      <c r="J6" s="122"/>
      <c r="K6" s="122"/>
    </row>
    <row r="7" spans="1:11">
      <c r="A7" s="93" t="s">
        <v>3</v>
      </c>
      <c r="B7" s="93">
        <v>25</v>
      </c>
      <c r="C7" s="93">
        <v>35</v>
      </c>
      <c r="D7" s="93">
        <v>45</v>
      </c>
      <c r="E7" s="93">
        <v>55</v>
      </c>
      <c r="F7" s="94"/>
      <c r="G7" s="93" t="s">
        <v>3</v>
      </c>
      <c r="H7" s="93">
        <v>25</v>
      </c>
      <c r="I7" s="93">
        <v>35</v>
      </c>
      <c r="J7" s="93">
        <v>45</v>
      </c>
      <c r="K7" s="93">
        <v>55</v>
      </c>
    </row>
    <row r="8" spans="1:11">
      <c r="A8" s="93">
        <v>55</v>
      </c>
      <c r="B8" s="93">
        <v>724913</v>
      </c>
      <c r="C8" s="93">
        <v>353147</v>
      </c>
      <c r="D8" s="93">
        <v>122989</v>
      </c>
      <c r="E8" s="93">
        <v>0</v>
      </c>
      <c r="F8" s="94"/>
      <c r="G8" s="93">
        <v>55</v>
      </c>
      <c r="H8" s="93">
        <v>511539</v>
      </c>
      <c r="I8" s="93">
        <v>275815</v>
      </c>
      <c r="J8" s="93">
        <v>111563</v>
      </c>
      <c r="K8" s="93">
        <v>0</v>
      </c>
    </row>
    <row r="9" spans="1:11">
      <c r="A9" s="93">
        <v>65</v>
      </c>
      <c r="B9" s="93">
        <v>1964692</v>
      </c>
      <c r="C9" s="93">
        <v>982700</v>
      </c>
      <c r="D9" s="93">
        <v>469745</v>
      </c>
      <c r="E9" s="93">
        <v>170720</v>
      </c>
      <c r="F9" s="94"/>
      <c r="G9" s="93">
        <v>65</v>
      </c>
      <c r="H9" s="93">
        <v>1163362</v>
      </c>
      <c r="I9" s="93">
        <v>692555</v>
      </c>
      <c r="J9" s="93">
        <v>368553</v>
      </c>
      <c r="K9" s="93">
        <v>149248</v>
      </c>
    </row>
    <row r="10" spans="1:11">
      <c r="A10" s="93">
        <v>75</v>
      </c>
      <c r="B10" s="93">
        <v>5116003</v>
      </c>
      <c r="C10" s="93">
        <v>2631449</v>
      </c>
      <c r="D10" s="93">
        <v>1347835</v>
      </c>
      <c r="E10" s="93">
        <v>618635</v>
      </c>
      <c r="F10" s="94"/>
      <c r="G10" s="93">
        <v>75</v>
      </c>
      <c r="H10" s="93">
        <v>2454875</v>
      </c>
      <c r="I10" s="93">
        <v>1544324</v>
      </c>
      <c r="J10" s="93">
        <v>926008</v>
      </c>
      <c r="K10" s="93">
        <v>494365</v>
      </c>
    </row>
    <row r="11" spans="1:11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</row>
    <row r="12" spans="1:11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</row>
    <row r="13" spans="1:11">
      <c r="A13" s="93"/>
      <c r="B13" s="93"/>
      <c r="C13" s="93" t="s">
        <v>105</v>
      </c>
      <c r="D13" s="93"/>
      <c r="E13" s="93"/>
      <c r="F13" s="94"/>
      <c r="G13" s="93"/>
      <c r="H13" s="93"/>
      <c r="I13" s="93" t="s">
        <v>106</v>
      </c>
      <c r="J13" s="93"/>
      <c r="K13" s="93"/>
    </row>
    <row r="14" spans="1:11">
      <c r="A14" s="93"/>
      <c r="B14" s="93"/>
      <c r="C14" s="93"/>
      <c r="D14" s="93"/>
      <c r="E14" s="93"/>
      <c r="F14" s="94"/>
      <c r="G14" s="93"/>
      <c r="H14" s="93"/>
      <c r="I14" s="93"/>
      <c r="J14" s="93"/>
      <c r="K14" s="93"/>
    </row>
    <row r="15" spans="1:11">
      <c r="A15" s="93" t="s">
        <v>21</v>
      </c>
      <c r="B15" s="122" t="s">
        <v>7</v>
      </c>
      <c r="C15" s="122"/>
      <c r="D15" s="122"/>
      <c r="E15" s="122"/>
      <c r="F15" s="94"/>
      <c r="G15" s="93" t="s">
        <v>21</v>
      </c>
      <c r="H15" s="122" t="s">
        <v>7</v>
      </c>
      <c r="I15" s="122"/>
      <c r="J15" s="122"/>
      <c r="K15" s="122"/>
    </row>
    <row r="16" spans="1:11">
      <c r="A16" s="93"/>
      <c r="B16" s="122" t="s">
        <v>14</v>
      </c>
      <c r="C16" s="122"/>
      <c r="D16" s="122"/>
      <c r="E16" s="122"/>
      <c r="F16" s="94"/>
      <c r="G16" s="93"/>
      <c r="H16" s="122" t="s">
        <v>14</v>
      </c>
      <c r="I16" s="122"/>
      <c r="J16" s="122"/>
      <c r="K16" s="122"/>
    </row>
    <row r="17" spans="1:11">
      <c r="A17" s="93" t="s">
        <v>3</v>
      </c>
      <c r="B17" s="93">
        <v>25</v>
      </c>
      <c r="C17" s="93">
        <v>35</v>
      </c>
      <c r="D17" s="93">
        <v>45</v>
      </c>
      <c r="E17" s="93">
        <v>55</v>
      </c>
      <c r="F17" s="94"/>
      <c r="G17" s="93" t="s">
        <v>3</v>
      </c>
      <c r="H17" s="93">
        <v>25</v>
      </c>
      <c r="I17" s="93">
        <v>35</v>
      </c>
      <c r="J17" s="93">
        <v>45</v>
      </c>
      <c r="K17" s="93">
        <v>55</v>
      </c>
    </row>
    <row r="18" spans="1:11">
      <c r="A18" s="93">
        <v>55</v>
      </c>
      <c r="B18" s="93">
        <v>586373</v>
      </c>
      <c r="C18" s="93">
        <v>299167</v>
      </c>
      <c r="D18" s="93">
        <v>116359</v>
      </c>
      <c r="E18" s="93">
        <v>0</v>
      </c>
      <c r="F18" s="94"/>
      <c r="G18" s="93">
        <v>55</v>
      </c>
      <c r="H18" s="93">
        <v>448748</v>
      </c>
      <c r="I18" s="93">
        <v>238196</v>
      </c>
      <c r="J18" s="93">
        <v>103508</v>
      </c>
      <c r="K18" s="93">
        <v>0</v>
      </c>
    </row>
    <row r="19" spans="1:11">
      <c r="A19" s="93">
        <v>65</v>
      </c>
      <c r="B19" s="93">
        <v>1394437</v>
      </c>
      <c r="C19" s="93">
        <v>788036</v>
      </c>
      <c r="D19" s="93">
        <v>402056</v>
      </c>
      <c r="E19" s="93">
        <v>156377</v>
      </c>
      <c r="F19" s="94"/>
      <c r="G19" s="93">
        <v>65</v>
      </c>
      <c r="H19" s="93">
        <v>910531</v>
      </c>
      <c r="I19" s="93">
        <v>576208</v>
      </c>
      <c r="J19" s="93">
        <v>332757</v>
      </c>
      <c r="K19" s="93">
        <v>139382</v>
      </c>
    </row>
    <row r="20" spans="1:11">
      <c r="A20" s="93">
        <v>75</v>
      </c>
      <c r="B20" s="93">
        <v>3154356</v>
      </c>
      <c r="C20" s="93">
        <v>1874007</v>
      </c>
      <c r="D20" s="93">
        <v>1059054</v>
      </c>
      <c r="E20" s="93">
        <v>540330</v>
      </c>
      <c r="F20" s="94"/>
      <c r="G20" s="93">
        <v>75</v>
      </c>
      <c r="H20" s="93">
        <v>1747311</v>
      </c>
      <c r="I20" s="93">
        <v>1204997</v>
      </c>
      <c r="J20" s="93">
        <v>770935</v>
      </c>
      <c r="K20" s="93">
        <v>431062</v>
      </c>
    </row>
    <row r="21" spans="1:11" ht="15.75" thickBot="1"/>
    <row r="22" spans="1:11" ht="16.5" thickTop="1" thickBot="1">
      <c r="D22" s="123" t="s">
        <v>107</v>
      </c>
      <c r="E22" s="100">
        <v>14.755301713282661</v>
      </c>
    </row>
    <row r="23" spans="1:11" ht="16.5" thickTop="1" thickBot="1">
      <c r="D23" s="123"/>
      <c r="E23" s="100">
        <v>12.083730124478894</v>
      </c>
    </row>
    <row r="24" spans="1:11" ht="16.5" thickTop="1" thickBot="1">
      <c r="D24" s="123"/>
      <c r="E24" s="100">
        <v>8.8246579718737017</v>
      </c>
    </row>
    <row r="25" spans="1:11" ht="15.75" thickTop="1"/>
    <row r="26" spans="1:11">
      <c r="A26" s="94"/>
      <c r="B26" s="94"/>
      <c r="C26" s="94" t="s">
        <v>103</v>
      </c>
      <c r="D26" s="94"/>
      <c r="E26" s="94"/>
      <c r="F26" s="93"/>
      <c r="G26" s="94"/>
      <c r="H26" s="94"/>
      <c r="I26" s="94" t="s">
        <v>104</v>
      </c>
      <c r="J26" s="94"/>
      <c r="K26" s="94"/>
    </row>
    <row r="27" spans="1:11">
      <c r="A27" s="94"/>
      <c r="B27" s="94"/>
      <c r="C27" s="94"/>
      <c r="D27" s="94"/>
      <c r="E27" s="94"/>
      <c r="F27" s="93"/>
      <c r="G27" s="94"/>
      <c r="H27" s="94"/>
      <c r="I27" s="94"/>
      <c r="J27" s="94"/>
      <c r="K27" s="94"/>
    </row>
    <row r="28" spans="1:11">
      <c r="A28" s="94" t="s">
        <v>21</v>
      </c>
      <c r="B28" s="124" t="s">
        <v>23</v>
      </c>
      <c r="C28" s="124"/>
      <c r="D28" s="124"/>
      <c r="E28" s="124"/>
      <c r="F28" s="93"/>
      <c r="G28" s="94" t="s">
        <v>21</v>
      </c>
      <c r="H28" s="124" t="s">
        <v>23</v>
      </c>
      <c r="I28" s="124"/>
      <c r="J28" s="124"/>
      <c r="K28" s="124"/>
    </row>
    <row r="29" spans="1:11">
      <c r="A29" s="94"/>
      <c r="B29" s="124" t="s">
        <v>14</v>
      </c>
      <c r="C29" s="124"/>
      <c r="D29" s="124"/>
      <c r="E29" s="124"/>
      <c r="F29" s="93"/>
      <c r="G29" s="94"/>
      <c r="H29" s="124" t="s">
        <v>14</v>
      </c>
      <c r="I29" s="124"/>
      <c r="J29" s="124"/>
      <c r="K29" s="124"/>
    </row>
    <row r="30" spans="1:11">
      <c r="A30" s="94" t="s">
        <v>3</v>
      </c>
      <c r="B30" s="94">
        <v>25</v>
      </c>
      <c r="C30" s="94">
        <v>35</v>
      </c>
      <c r="D30" s="94">
        <v>45</v>
      </c>
      <c r="E30" s="94">
        <v>55</v>
      </c>
      <c r="F30" s="93"/>
      <c r="G30" s="94" t="s">
        <v>3</v>
      </c>
      <c r="H30" s="94">
        <v>25</v>
      </c>
      <c r="I30" s="94">
        <v>35</v>
      </c>
      <c r="J30" s="94">
        <v>45</v>
      </c>
      <c r="K30" s="94">
        <v>55</v>
      </c>
    </row>
    <row r="31" spans="1:11">
      <c r="A31" s="94">
        <v>55</v>
      </c>
      <c r="B31" s="101">
        <f>B8/$E$22</f>
        <v>49128.985234333522</v>
      </c>
      <c r="C31" s="101">
        <f>C8/$E$22</f>
        <v>23933.56685360751</v>
      </c>
      <c r="D31" s="101">
        <f>D8/$E$22</f>
        <v>8335.2412841064324</v>
      </c>
      <c r="E31" s="101">
        <v>0</v>
      </c>
      <c r="F31" s="93"/>
      <c r="G31" s="94">
        <v>55</v>
      </c>
      <c r="H31" s="101">
        <f>H8/$E$22</f>
        <v>34668.149112770414</v>
      </c>
      <c r="I31" s="101">
        <f t="shared" ref="I31:J31" si="0">I8/$E$22</f>
        <v>18692.603198463403</v>
      </c>
      <c r="J31" s="101">
        <f t="shared" si="0"/>
        <v>7560.8755529255941</v>
      </c>
      <c r="K31" s="101">
        <v>0</v>
      </c>
    </row>
    <row r="32" spans="1:11">
      <c r="A32" s="94">
        <v>65</v>
      </c>
      <c r="B32" s="101">
        <f>B9/$E$23</f>
        <v>162589.86089237296</v>
      </c>
      <c r="C32" s="101">
        <f t="shared" ref="C32:E32" si="1">C9/$E$23</f>
        <v>81324.226035905333</v>
      </c>
      <c r="D32" s="101">
        <f t="shared" si="1"/>
        <v>38874.171730168258</v>
      </c>
      <c r="E32" s="101">
        <f t="shared" si="1"/>
        <v>14128.087787574801</v>
      </c>
      <c r="F32" s="93"/>
      <c r="G32" s="94">
        <v>65</v>
      </c>
      <c r="H32" s="101">
        <f>H9/$E$23</f>
        <v>96275.073012702647</v>
      </c>
      <c r="I32" s="101">
        <f t="shared" ref="I32:K32" si="2">I9/$E$23</f>
        <v>57313.01451337785</v>
      </c>
      <c r="J32" s="101">
        <f t="shared" si="2"/>
        <v>30499.936377542501</v>
      </c>
      <c r="K32" s="101">
        <f t="shared" si="2"/>
        <v>12351.153034910754</v>
      </c>
    </row>
    <row r="33" spans="1:11">
      <c r="A33" s="94">
        <v>75</v>
      </c>
      <c r="B33" s="101">
        <f>B10/$E$24</f>
        <v>579739.52263146359</v>
      </c>
      <c r="C33" s="101">
        <f t="shared" ref="C33:E33" si="3">C10/$E$24</f>
        <v>298192.74677693553</v>
      </c>
      <c r="D33" s="101">
        <f t="shared" si="3"/>
        <v>152735.09798293293</v>
      </c>
      <c r="E33" s="101">
        <f t="shared" si="3"/>
        <v>70103.000249045101</v>
      </c>
      <c r="F33" s="93"/>
      <c r="G33" s="94">
        <v>75</v>
      </c>
      <c r="H33" s="101">
        <f>H10/$E$24</f>
        <v>278183.58601820882</v>
      </c>
      <c r="I33" s="101">
        <f t="shared" ref="I33:K33" si="4">I10/$E$24</f>
        <v>175001.00342949614</v>
      </c>
      <c r="J33" s="101">
        <f t="shared" si="4"/>
        <v>104934.1518902386</v>
      </c>
      <c r="K33" s="101">
        <f t="shared" si="4"/>
        <v>56020.86806940956</v>
      </c>
    </row>
    <row r="34" spans="1:11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</row>
    <row r="35" spans="1:11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</row>
    <row r="36" spans="1:11">
      <c r="A36" s="94"/>
      <c r="B36" s="94"/>
      <c r="C36" s="94" t="s">
        <v>105</v>
      </c>
      <c r="D36" s="94"/>
      <c r="E36" s="94"/>
      <c r="F36" s="93"/>
      <c r="G36" s="94"/>
      <c r="H36" s="94"/>
      <c r="I36" s="94" t="s">
        <v>106</v>
      </c>
      <c r="J36" s="94"/>
      <c r="K36" s="94"/>
    </row>
    <row r="37" spans="1:11">
      <c r="A37" s="94"/>
      <c r="B37" s="94"/>
      <c r="C37" s="94"/>
      <c r="D37" s="94"/>
      <c r="E37" s="94"/>
      <c r="F37" s="93"/>
      <c r="G37" s="94"/>
      <c r="H37" s="94"/>
      <c r="I37" s="94"/>
      <c r="J37" s="94"/>
      <c r="K37" s="94"/>
    </row>
    <row r="38" spans="1:11">
      <c r="A38" s="94" t="s">
        <v>21</v>
      </c>
      <c r="B38" s="124" t="s">
        <v>23</v>
      </c>
      <c r="C38" s="124"/>
      <c r="D38" s="124"/>
      <c r="E38" s="124"/>
      <c r="F38" s="93"/>
      <c r="G38" s="94" t="s">
        <v>21</v>
      </c>
      <c r="H38" s="124" t="s">
        <v>23</v>
      </c>
      <c r="I38" s="124"/>
      <c r="J38" s="124"/>
      <c r="K38" s="124"/>
    </row>
    <row r="39" spans="1:11">
      <c r="A39" s="94"/>
      <c r="B39" s="124" t="s">
        <v>14</v>
      </c>
      <c r="C39" s="124"/>
      <c r="D39" s="124"/>
      <c r="E39" s="124"/>
      <c r="F39" s="93"/>
      <c r="G39" s="94"/>
      <c r="H39" s="124" t="s">
        <v>14</v>
      </c>
      <c r="I39" s="124"/>
      <c r="J39" s="124"/>
      <c r="K39" s="124"/>
    </row>
    <row r="40" spans="1:11">
      <c r="A40" s="94" t="s">
        <v>3</v>
      </c>
      <c r="B40" s="94">
        <v>25</v>
      </c>
      <c r="C40" s="94">
        <v>35</v>
      </c>
      <c r="D40" s="94">
        <v>45</v>
      </c>
      <c r="E40" s="94">
        <v>55</v>
      </c>
      <c r="F40" s="93"/>
      <c r="G40" s="94" t="s">
        <v>3</v>
      </c>
      <c r="H40" s="94">
        <v>25</v>
      </c>
      <c r="I40" s="94">
        <v>35</v>
      </c>
      <c r="J40" s="94">
        <v>45</v>
      </c>
      <c r="K40" s="94">
        <v>55</v>
      </c>
    </row>
    <row r="41" spans="1:11">
      <c r="A41" s="94">
        <v>55</v>
      </c>
      <c r="B41" s="101">
        <f>B18/$E$22</f>
        <v>39739.817686828421</v>
      </c>
      <c r="C41" s="101">
        <f t="shared" ref="C41:D41" si="5">C18/$E$22</f>
        <v>20275.220785942394</v>
      </c>
      <c r="D41" s="101">
        <f t="shared" si="5"/>
        <v>7885.9112650508605</v>
      </c>
      <c r="E41" s="101">
        <v>0</v>
      </c>
      <c r="F41" s="93"/>
      <c r="G41" s="94">
        <v>55</v>
      </c>
      <c r="H41" s="101">
        <f>H18/$E$22</f>
        <v>30412.661748288003</v>
      </c>
      <c r="I41" s="101">
        <f t="shared" ref="I41:J41" si="6">I18/$E$22</f>
        <v>16143.078916887003</v>
      </c>
      <c r="J41" s="101">
        <f t="shared" si="6"/>
        <v>7014.9700772856804</v>
      </c>
      <c r="K41" s="101">
        <v>0</v>
      </c>
    </row>
    <row r="42" spans="1:11">
      <c r="A42" s="94">
        <v>65</v>
      </c>
      <c r="B42" s="101">
        <f>B19/$E$23</f>
        <v>115397.89333553446</v>
      </c>
      <c r="C42" s="101">
        <f t="shared" ref="C42:E42" si="7">C19/$E$23</f>
        <v>65214.630903053519</v>
      </c>
      <c r="D42" s="101">
        <f t="shared" si="7"/>
        <v>33272.50740113153</v>
      </c>
      <c r="E42" s="101">
        <f t="shared" si="7"/>
        <v>12941.119868542553</v>
      </c>
      <c r="F42" s="93"/>
      <c r="G42" s="94">
        <v>65</v>
      </c>
      <c r="H42" s="101">
        <f>H19/$E$23</f>
        <v>75351.815260709176</v>
      </c>
      <c r="I42" s="101">
        <f t="shared" ref="I42:K42" si="8">I19/$E$23</f>
        <v>47684.613448353455</v>
      </c>
      <c r="J42" s="101">
        <f t="shared" si="8"/>
        <v>27537.606068006258</v>
      </c>
      <c r="K42" s="101">
        <f t="shared" si="8"/>
        <v>11534.683294328439</v>
      </c>
    </row>
    <row r="43" spans="1:11">
      <c r="A43" s="94">
        <v>75</v>
      </c>
      <c r="B43" s="101">
        <f>B20/$E$24</f>
        <v>357447.96116219892</v>
      </c>
      <c r="C43" s="101">
        <f t="shared" ref="C43:E43" si="9">C20/$E$24</f>
        <v>212360.29837903171</v>
      </c>
      <c r="D43" s="101">
        <f t="shared" si="9"/>
        <v>120010.77020497098</v>
      </c>
      <c r="E43" s="101">
        <f t="shared" si="9"/>
        <v>61229.568525166767</v>
      </c>
      <c r="F43" s="93"/>
      <c r="G43" s="94">
        <v>75</v>
      </c>
      <c r="H43" s="101">
        <f>H20/$E$24</f>
        <v>198003.25469486733</v>
      </c>
      <c r="I43" s="101">
        <f t="shared" ref="I43:K43" si="10">I20/$E$24</f>
        <v>136548.86159221287</v>
      </c>
      <c r="J43" s="101">
        <f t="shared" si="10"/>
        <v>87361.459498731216</v>
      </c>
      <c r="K43" s="101">
        <f t="shared" si="10"/>
        <v>48847.445575103062</v>
      </c>
    </row>
    <row r="46" spans="1:11">
      <c r="A46" s="125" t="s">
        <v>130</v>
      </c>
      <c r="B46" s="125"/>
      <c r="C46" s="125"/>
      <c r="D46" s="125"/>
      <c r="E46" s="125"/>
      <c r="F46" s="125"/>
      <c r="G46" s="125"/>
      <c r="H46" s="125"/>
      <c r="I46" s="125"/>
      <c r="J46" s="125"/>
      <c r="K46" s="125"/>
    </row>
    <row r="48" spans="1:11">
      <c r="A48" s="93"/>
      <c r="B48" s="93"/>
      <c r="C48" s="93" t="s">
        <v>103</v>
      </c>
      <c r="D48" s="93"/>
      <c r="E48" s="93"/>
      <c r="F48" s="94"/>
      <c r="G48" s="93"/>
      <c r="H48" s="93"/>
      <c r="I48" s="93" t="s">
        <v>104</v>
      </c>
      <c r="J48" s="93"/>
      <c r="K48" s="93"/>
    </row>
    <row r="49" spans="1:11">
      <c r="A49" s="93"/>
      <c r="B49" s="93"/>
      <c r="C49" s="93"/>
      <c r="D49" s="93"/>
      <c r="E49" s="93"/>
      <c r="F49" s="94"/>
      <c r="G49" s="93"/>
      <c r="H49" s="93"/>
      <c r="I49" s="93"/>
      <c r="J49" s="93"/>
      <c r="K49" s="93"/>
    </row>
    <row r="50" spans="1:11">
      <c r="A50" s="93" t="s">
        <v>21</v>
      </c>
      <c r="B50" s="122" t="s">
        <v>7</v>
      </c>
      <c r="C50" s="122"/>
      <c r="D50" s="122"/>
      <c r="E50" s="122"/>
      <c r="F50" s="94"/>
      <c r="G50" s="93" t="s">
        <v>21</v>
      </c>
      <c r="H50" s="122" t="s">
        <v>7</v>
      </c>
      <c r="I50" s="122"/>
      <c r="J50" s="122"/>
      <c r="K50" s="122"/>
    </row>
    <row r="51" spans="1:11">
      <c r="A51" s="93"/>
      <c r="B51" s="122" t="s">
        <v>108</v>
      </c>
      <c r="C51" s="122"/>
      <c r="D51" s="122"/>
      <c r="E51" s="122"/>
      <c r="F51" s="94"/>
      <c r="G51" s="93"/>
      <c r="H51" s="122" t="s">
        <v>14</v>
      </c>
      <c r="I51" s="122"/>
      <c r="J51" s="122"/>
      <c r="K51" s="122"/>
    </row>
    <row r="52" spans="1:11">
      <c r="A52" s="93" t="s">
        <v>3</v>
      </c>
      <c r="B52" s="93">
        <v>25</v>
      </c>
      <c r="C52" s="93">
        <v>35</v>
      </c>
      <c r="D52" s="93">
        <v>45</v>
      </c>
      <c r="E52" s="93"/>
      <c r="F52" s="94"/>
      <c r="G52" s="93" t="s">
        <v>3</v>
      </c>
      <c r="H52" s="93">
        <v>25</v>
      </c>
      <c r="I52" s="93">
        <v>35</v>
      </c>
      <c r="J52" s="93">
        <v>45</v>
      </c>
      <c r="K52" s="93"/>
    </row>
    <row r="53" spans="1:11">
      <c r="A53" s="93">
        <v>55</v>
      </c>
      <c r="B53" s="93" t="s">
        <v>112</v>
      </c>
      <c r="C53" s="93" t="s">
        <v>115</v>
      </c>
      <c r="D53" s="93" t="s">
        <v>118</v>
      </c>
      <c r="E53" s="93"/>
      <c r="F53" s="94"/>
      <c r="G53" s="93">
        <v>55</v>
      </c>
      <c r="H53" s="93"/>
      <c r="I53" s="93"/>
      <c r="J53" s="93"/>
      <c r="K53" s="93"/>
    </row>
    <row r="54" spans="1:11">
      <c r="A54" s="93">
        <v>65</v>
      </c>
      <c r="B54" s="93" t="s">
        <v>113</v>
      </c>
      <c r="C54" s="93" t="s">
        <v>116</v>
      </c>
      <c r="D54" s="93" t="s">
        <v>119</v>
      </c>
      <c r="E54" s="93"/>
      <c r="F54" s="94"/>
      <c r="G54" s="93">
        <v>65</v>
      </c>
      <c r="H54" s="93"/>
      <c r="I54" s="93"/>
      <c r="J54" s="93"/>
      <c r="K54" s="93"/>
    </row>
    <row r="55" spans="1:11">
      <c r="A55" s="93">
        <v>75</v>
      </c>
      <c r="B55" s="93" t="s">
        <v>114</v>
      </c>
      <c r="C55" s="93" t="s">
        <v>117</v>
      </c>
      <c r="D55" s="93" t="s">
        <v>120</v>
      </c>
      <c r="E55" s="93"/>
      <c r="F55" s="94"/>
      <c r="G55" s="93">
        <v>75</v>
      </c>
      <c r="H55" s="93"/>
      <c r="I55" s="93"/>
      <c r="J55" s="93"/>
      <c r="K55" s="93"/>
    </row>
    <row r="56" spans="1:11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</row>
    <row r="57" spans="1:11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</row>
    <row r="58" spans="1:11">
      <c r="A58" s="93"/>
      <c r="B58" s="93"/>
      <c r="C58" s="93" t="s">
        <v>105</v>
      </c>
      <c r="D58" s="93"/>
      <c r="E58" s="93"/>
      <c r="F58" s="94"/>
      <c r="G58" s="93"/>
      <c r="H58" s="93"/>
      <c r="I58" s="93" t="s">
        <v>106</v>
      </c>
      <c r="J58" s="93"/>
      <c r="K58" s="93"/>
    </row>
    <row r="59" spans="1:11">
      <c r="A59" s="93"/>
      <c r="B59" s="93"/>
      <c r="C59" s="93"/>
      <c r="D59" s="93"/>
      <c r="E59" s="93"/>
      <c r="F59" s="94"/>
      <c r="G59" s="93"/>
      <c r="H59" s="93"/>
      <c r="I59" s="93"/>
      <c r="J59" s="93"/>
      <c r="K59" s="93"/>
    </row>
    <row r="60" spans="1:11">
      <c r="A60" s="93" t="s">
        <v>21</v>
      </c>
      <c r="B60" s="122" t="s">
        <v>7</v>
      </c>
      <c r="C60" s="122"/>
      <c r="D60" s="122"/>
      <c r="E60" s="122"/>
      <c r="F60" s="94"/>
      <c r="G60" s="93" t="s">
        <v>21</v>
      </c>
      <c r="H60" s="122" t="s">
        <v>7</v>
      </c>
      <c r="I60" s="122"/>
      <c r="J60" s="122"/>
      <c r="K60" s="122"/>
    </row>
    <row r="61" spans="1:11">
      <c r="A61" s="93"/>
      <c r="B61" s="122" t="s">
        <v>108</v>
      </c>
      <c r="C61" s="122"/>
      <c r="D61" s="122"/>
      <c r="E61" s="122"/>
      <c r="F61" s="94"/>
      <c r="G61" s="93"/>
      <c r="H61" s="122" t="s">
        <v>108</v>
      </c>
      <c r="I61" s="122"/>
      <c r="J61" s="122"/>
      <c r="K61" s="122"/>
    </row>
    <row r="62" spans="1:11">
      <c r="A62" s="93" t="s">
        <v>3</v>
      </c>
      <c r="B62" s="93">
        <v>25</v>
      </c>
      <c r="C62" s="93">
        <v>35</v>
      </c>
      <c r="D62" s="93">
        <v>45</v>
      </c>
      <c r="E62" s="93"/>
      <c r="F62" s="94"/>
      <c r="G62" s="93" t="s">
        <v>3</v>
      </c>
      <c r="H62" s="93">
        <v>25</v>
      </c>
      <c r="I62" s="93">
        <v>35</v>
      </c>
      <c r="J62" s="93">
        <v>45</v>
      </c>
      <c r="K62" s="93"/>
    </row>
    <row r="63" spans="1:11">
      <c r="A63" s="93">
        <v>55</v>
      </c>
      <c r="B63" s="104">
        <v>430649</v>
      </c>
      <c r="C63" s="104">
        <v>270105.2</v>
      </c>
      <c r="D63" s="104">
        <v>125331.1</v>
      </c>
      <c r="E63" s="93"/>
      <c r="F63" s="94"/>
      <c r="G63" s="93">
        <v>55</v>
      </c>
      <c r="H63" s="93" t="s">
        <v>121</v>
      </c>
      <c r="I63" s="93" t="s">
        <v>124</v>
      </c>
      <c r="J63" s="93" t="s">
        <v>127</v>
      </c>
      <c r="K63" s="93"/>
    </row>
    <row r="64" spans="1:11">
      <c r="A64" s="93">
        <v>65</v>
      </c>
      <c r="B64" s="104">
        <v>1125721</v>
      </c>
      <c r="C64" s="104">
        <v>788627.3</v>
      </c>
      <c r="D64" s="104">
        <v>484645.4</v>
      </c>
      <c r="E64" s="93"/>
      <c r="F64" s="94"/>
      <c r="G64" s="93">
        <v>65</v>
      </c>
      <c r="H64" s="93" t="s">
        <v>122</v>
      </c>
      <c r="I64" s="93" t="s">
        <v>125</v>
      </c>
      <c r="J64" s="93" t="s">
        <v>128</v>
      </c>
      <c r="K64" s="93"/>
    </row>
    <row r="65" spans="1:14">
      <c r="A65" s="93">
        <v>75</v>
      </c>
      <c r="B65" s="104">
        <v>2747105</v>
      </c>
      <c r="C65" s="104">
        <v>2039310</v>
      </c>
      <c r="D65" s="104">
        <v>1401039</v>
      </c>
      <c r="E65" s="93"/>
      <c r="F65" s="94"/>
      <c r="G65" s="93">
        <v>75</v>
      </c>
      <c r="H65" s="93" t="s">
        <v>123</v>
      </c>
      <c r="I65" s="93" t="s">
        <v>126</v>
      </c>
      <c r="J65" s="93" t="s">
        <v>129</v>
      </c>
      <c r="K65" s="93"/>
    </row>
    <row r="67" spans="1:14">
      <c r="B67" s="93">
        <v>50000</v>
      </c>
      <c r="C67" s="93">
        <v>0.04</v>
      </c>
      <c r="D67" s="93">
        <v>7.7600000000000002E-2</v>
      </c>
      <c r="E67">
        <f>(1.0424)/(1+D67)</f>
        <v>0.9673348181143282</v>
      </c>
      <c r="F67" s="31">
        <f>B67*C67*(1+D67)^39*(1-E67^40)/(1-E67)</f>
        <v>830119.01850474125</v>
      </c>
    </row>
    <row r="68" spans="1:14">
      <c r="B68" s="93">
        <v>50000</v>
      </c>
      <c r="C68" s="93">
        <v>0.08</v>
      </c>
      <c r="D68" s="93">
        <v>7.7600000000000002E-2</v>
      </c>
      <c r="E68">
        <f t="shared" ref="E68:E69" si="11">(1.0424)/(1+D68)</f>
        <v>0.9673348181143282</v>
      </c>
      <c r="F68" s="31">
        <f t="shared" ref="F68:F69" si="12">B68*C68*(1+D68)^39*(1-E68^40)/(1-E68)</f>
        <v>1660238.0370094825</v>
      </c>
    </row>
    <row r="69" spans="1:14">
      <c r="B69" s="93">
        <v>50000</v>
      </c>
      <c r="C69" s="93">
        <v>0.04</v>
      </c>
      <c r="D69" s="93">
        <v>7.7600000000000002E-2</v>
      </c>
      <c r="E69">
        <f t="shared" si="11"/>
        <v>0.9673348181143282</v>
      </c>
      <c r="F69" s="31">
        <f t="shared" si="12"/>
        <v>830119.01850474125</v>
      </c>
    </row>
    <row r="72" spans="1:14">
      <c r="H72" s="116"/>
    </row>
    <row r="73" spans="1:14">
      <c r="A73" s="107"/>
      <c r="B73" s="107"/>
      <c r="C73" s="108"/>
      <c r="D73" s="107"/>
      <c r="E73" s="107"/>
      <c r="H73" s="42"/>
    </row>
    <row r="74" spans="1:14">
      <c r="A74" s="107"/>
      <c r="B74" s="107"/>
      <c r="C74" s="107"/>
      <c r="D74" s="107"/>
      <c r="E74" s="107"/>
      <c r="H74" s="117"/>
    </row>
    <row r="75" spans="1:14">
      <c r="A75" s="126" t="s">
        <v>134</v>
      </c>
      <c r="B75" s="126"/>
      <c r="C75" s="126"/>
      <c r="D75" s="126"/>
      <c r="E75" s="107"/>
    </row>
    <row r="76" spans="1:14">
      <c r="A76" s="109"/>
      <c r="B76" s="109"/>
      <c r="C76" s="109"/>
      <c r="D76" s="109"/>
      <c r="E76" s="107"/>
    </row>
    <row r="77" spans="1:14">
      <c r="A77" s="109"/>
      <c r="B77" s="126" t="s">
        <v>108</v>
      </c>
      <c r="C77" s="126"/>
      <c r="D77" s="126"/>
      <c r="E77" s="107"/>
    </row>
    <row r="78" spans="1:14">
      <c r="A78" s="110" t="s">
        <v>131</v>
      </c>
      <c r="B78" s="110">
        <v>25</v>
      </c>
      <c r="C78" s="110">
        <v>35</v>
      </c>
      <c r="D78" s="110">
        <v>45</v>
      </c>
      <c r="E78" s="107"/>
      <c r="F78" s="108"/>
      <c r="G78" s="116"/>
      <c r="H78" s="116"/>
      <c r="I78" s="115"/>
      <c r="J78" s="115"/>
    </row>
    <row r="79" spans="1:14">
      <c r="A79" s="111">
        <v>0.04</v>
      </c>
      <c r="B79" s="119">
        <v>757151.35616224969</v>
      </c>
      <c r="C79" s="119">
        <v>315918.61033303727</v>
      </c>
      <c r="D79" s="119">
        <v>117979.06623841535</v>
      </c>
      <c r="E79" s="107"/>
      <c r="F79" s="114"/>
      <c r="G79" s="116"/>
      <c r="H79" s="116"/>
      <c r="I79" s="39"/>
      <c r="J79" s="39"/>
    </row>
    <row r="80" spans="1:14">
      <c r="A80" s="112" t="s">
        <v>133</v>
      </c>
      <c r="B80" s="113">
        <v>973377.2552375996</v>
      </c>
      <c r="C80" s="113">
        <v>379684.871363602</v>
      </c>
      <c r="D80" s="113">
        <v>130580.89045480154</v>
      </c>
      <c r="E80" s="107"/>
      <c r="F80" s="118"/>
      <c r="G80" s="116"/>
      <c r="H80" s="116"/>
      <c r="I80" s="39"/>
      <c r="J80" s="39"/>
      <c r="N80">
        <v>767.72203523490907</v>
      </c>
    </row>
    <row r="81" spans="1:12">
      <c r="A81" s="111">
        <v>0.08</v>
      </c>
      <c r="B81" s="113">
        <f>2*B79</f>
        <v>1514302.7123244994</v>
      </c>
      <c r="C81" s="113">
        <f t="shared" ref="C81:D81" si="13">2*C79</f>
        <v>631837.22066607454</v>
      </c>
      <c r="D81" s="113">
        <f t="shared" si="13"/>
        <v>235958.13247683071</v>
      </c>
      <c r="E81" s="107"/>
      <c r="G81" s="42"/>
    </row>
    <row r="82" spans="1:12">
      <c r="A82" s="127" t="s">
        <v>132</v>
      </c>
      <c r="B82" s="127"/>
      <c r="C82" s="127"/>
      <c r="D82" s="127"/>
      <c r="E82" s="107"/>
    </row>
    <row r="85" spans="1:12">
      <c r="A85" s="126" t="s">
        <v>137</v>
      </c>
      <c r="B85" s="126"/>
      <c r="C85" s="126"/>
      <c r="D85" s="126"/>
    </row>
    <row r="86" spans="1:12">
      <c r="A86" s="109"/>
      <c r="B86" s="109"/>
      <c r="C86" s="109"/>
      <c r="D86" s="109"/>
    </row>
    <row r="87" spans="1:12">
      <c r="A87" s="109"/>
      <c r="B87" s="126" t="s">
        <v>108</v>
      </c>
      <c r="C87" s="126"/>
      <c r="D87" s="126"/>
    </row>
    <row r="88" spans="1:12">
      <c r="A88" s="110" t="s">
        <v>131</v>
      </c>
      <c r="B88" s="110">
        <v>25</v>
      </c>
      <c r="C88" s="110">
        <v>35</v>
      </c>
      <c r="D88" s="110">
        <v>45</v>
      </c>
    </row>
    <row r="89" spans="1:12">
      <c r="A89" s="111">
        <v>0.04</v>
      </c>
      <c r="B89" s="119">
        <v>757151.35616224969</v>
      </c>
      <c r="C89" s="119">
        <v>315918.61033303727</v>
      </c>
      <c r="D89" s="119">
        <v>117979.06623841535</v>
      </c>
    </row>
    <row r="90" spans="1:12">
      <c r="A90" s="112" t="s">
        <v>133</v>
      </c>
      <c r="B90" s="113">
        <v>973377.2552375996</v>
      </c>
      <c r="C90" s="113">
        <v>379684.871363602</v>
      </c>
      <c r="D90" s="113">
        <v>130580.89045480154</v>
      </c>
    </row>
    <row r="91" spans="1:12">
      <c r="A91" s="111">
        <v>0.08</v>
      </c>
      <c r="B91" s="113">
        <f>2*B89</f>
        <v>1514302.7123244994</v>
      </c>
      <c r="C91" s="113">
        <f t="shared" ref="C91:D91" si="14">2*C89</f>
        <v>631837.22066607454</v>
      </c>
      <c r="D91" s="113">
        <f t="shared" si="14"/>
        <v>235958.13247683071</v>
      </c>
    </row>
    <row r="92" spans="1:12">
      <c r="A92" s="127" t="s">
        <v>132</v>
      </c>
      <c r="B92" s="127"/>
      <c r="C92" s="127"/>
      <c r="D92" s="127"/>
    </row>
    <row r="94" spans="1:12">
      <c r="L94">
        <v>6038.8278</v>
      </c>
    </row>
    <row r="95" spans="1:12">
      <c r="L95">
        <v>6398.6145999999999</v>
      </c>
    </row>
    <row r="96" spans="1:12">
      <c r="L96">
        <v>7246.3296</v>
      </c>
    </row>
    <row r="97" spans="12:12">
      <c r="L97">
        <v>7458.3024999999998</v>
      </c>
    </row>
    <row r="98" spans="12:12">
      <c r="L98">
        <v>8050.2966999999999</v>
      </c>
    </row>
    <row r="99" spans="12:12">
      <c r="L99">
        <v>6118.7803999999996</v>
      </c>
    </row>
    <row r="100" spans="12:12">
      <c r="L100">
        <v>6398.6145999999999</v>
      </c>
    </row>
    <row r="101" spans="12:12">
      <c r="L101">
        <v>7326.3296</v>
      </c>
    </row>
    <row r="102" spans="12:12">
      <c r="L102">
        <v>6378.5481</v>
      </c>
    </row>
    <row r="103" spans="12:12">
      <c r="L103">
        <v>6587.7947000000004</v>
      </c>
    </row>
    <row r="104" spans="12:12">
      <c r="L104">
        <v>8724.8960999999999</v>
      </c>
    </row>
    <row r="105" spans="12:12">
      <c r="L105">
        <v>6511.4114</v>
      </c>
    </row>
    <row r="106" spans="12:12">
      <c r="L106">
        <v>7326.3296</v>
      </c>
    </row>
    <row r="107" spans="12:12">
      <c r="L107">
        <v>6288.5074000000004</v>
      </c>
    </row>
    <row r="108" spans="12:12">
      <c r="L108">
        <v>6038.8278</v>
      </c>
    </row>
    <row r="109" spans="12:12">
      <c r="L109">
        <v>8050.2966999999999</v>
      </c>
    </row>
    <row r="110" spans="12:12">
      <c r="L110">
        <v>6208.5074000000004</v>
      </c>
    </row>
    <row r="111" spans="12:12">
      <c r="L111">
        <v>6996.4845999999998</v>
      </c>
    </row>
    <row r="112" spans="12:12">
      <c r="L112">
        <v>6973.6905999999999</v>
      </c>
    </row>
    <row r="113" spans="12:12">
      <c r="L113">
        <v>6511.4114</v>
      </c>
    </row>
    <row r="114" spans="12:12">
      <c r="L114">
        <v>6678.6145999999999</v>
      </c>
    </row>
    <row r="115" spans="12:12">
      <c r="L115">
        <v>6693.6905999999999</v>
      </c>
    </row>
    <row r="116" spans="12:12">
      <c r="L116">
        <v>6678.6145999999999</v>
      </c>
    </row>
    <row r="117" spans="12:12">
      <c r="L117">
        <v>7920.2076999999999</v>
      </c>
    </row>
    <row r="118" spans="12:12">
      <c r="L118">
        <v>7690.2966999999999</v>
      </c>
    </row>
    <row r="119" spans="12:12">
      <c r="L119">
        <v>6871.4114</v>
      </c>
    </row>
    <row r="120" spans="12:12">
      <c r="L120">
        <v>6678.6145999999999</v>
      </c>
    </row>
    <row r="121" spans="12:12">
      <c r="L121">
        <v>7326.3296</v>
      </c>
    </row>
    <row r="122" spans="12:12">
      <c r="L122">
        <v>8050.2966999999999</v>
      </c>
    </row>
    <row r="123" spans="12:12">
      <c r="L123">
        <v>7331.6679999999997</v>
      </c>
    </row>
    <row r="124" spans="12:12">
      <c r="L124">
        <v>6511.4114</v>
      </c>
    </row>
    <row r="125" spans="12:12">
      <c r="L125">
        <v>7119.4817999999996</v>
      </c>
    </row>
    <row r="126" spans="12:12">
      <c r="L126">
        <v>7119.4817999999996</v>
      </c>
    </row>
    <row r="127" spans="12:12">
      <c r="L127">
        <v>6121.9634999999998</v>
      </c>
    </row>
    <row r="128" spans="12:12">
      <c r="L128">
        <v>6118.7803999999996</v>
      </c>
    </row>
    <row r="129" spans="12:12">
      <c r="L129">
        <v>6693.6905999999999</v>
      </c>
    </row>
    <row r="130" spans="12:12">
      <c r="L130">
        <v>7458.3024999999998</v>
      </c>
    </row>
    <row r="131" spans="12:12">
      <c r="L131">
        <v>6678.6145999999999</v>
      </c>
    </row>
    <row r="132" spans="12:12">
      <c r="L132">
        <v>7690.2966999999999</v>
      </c>
    </row>
    <row r="133" spans="12:12">
      <c r="L133">
        <v>6378.5481</v>
      </c>
    </row>
    <row r="134" spans="12:12">
      <c r="L134">
        <v>7690.2966999999999</v>
      </c>
    </row>
    <row r="135" spans="12:12">
      <c r="L135">
        <v>6973.6905999999999</v>
      </c>
    </row>
    <row r="136" spans="12:12">
      <c r="L136">
        <v>6118.7803999999996</v>
      </c>
    </row>
    <row r="137" spans="12:12">
      <c r="L137">
        <v>6678.6145999999999</v>
      </c>
    </row>
    <row r="138" spans="12:12">
      <c r="L138">
        <v>7458.3024999999998</v>
      </c>
    </row>
    <row r="139" spans="12:12">
      <c r="L139">
        <v>6511.4114</v>
      </c>
    </row>
    <row r="140" spans="12:12">
      <c r="L140">
        <v>8724.8960999999999</v>
      </c>
    </row>
    <row r="141" spans="12:12">
      <c r="L141">
        <v>6208.5074000000004</v>
      </c>
    </row>
    <row r="142" spans="12:12">
      <c r="L142">
        <v>6871.4114</v>
      </c>
    </row>
    <row r="143" spans="12:12">
      <c r="L143">
        <v>8724.8960999999999</v>
      </c>
    </row>
    <row r="144" spans="12:12">
      <c r="L144">
        <v>6678.6145999999999</v>
      </c>
    </row>
    <row r="145" spans="12:12">
      <c r="L145">
        <v>6118.7803999999996</v>
      </c>
    </row>
    <row r="146" spans="12:12">
      <c r="L146">
        <v>8724.8960999999999</v>
      </c>
    </row>
    <row r="147" spans="12:12">
      <c r="L147">
        <v>7119.4817999999996</v>
      </c>
    </row>
    <row r="148" spans="12:12">
      <c r="L148">
        <v>7326.3296</v>
      </c>
    </row>
    <row r="149" spans="12:12">
      <c r="L149">
        <v>5958.8278</v>
      </c>
    </row>
    <row r="150" spans="12:12">
      <c r="L150">
        <v>7690.2966999999999</v>
      </c>
    </row>
    <row r="151" spans="12:12">
      <c r="L151">
        <v>8050.2966999999999</v>
      </c>
    </row>
    <row r="152" spans="12:12">
      <c r="L152">
        <v>6693.6905999999999</v>
      </c>
    </row>
    <row r="153" spans="12:12">
      <c r="L153">
        <v>6996.4845999999998</v>
      </c>
    </row>
    <row r="154" spans="12:12">
      <c r="L154">
        <v>7920.2076999999999</v>
      </c>
    </row>
    <row r="155" spans="12:12">
      <c r="L155">
        <v>8200.2077000000008</v>
      </c>
    </row>
    <row r="156" spans="12:12">
      <c r="L156">
        <v>6973.6905999999999</v>
      </c>
    </row>
    <row r="157" spans="12:12">
      <c r="L157">
        <v>6871.4114</v>
      </c>
    </row>
    <row r="158" spans="12:12">
      <c r="L158">
        <v>5881.9800999999998</v>
      </c>
    </row>
    <row r="159" spans="12:12">
      <c r="L159">
        <v>6973.6905999999999</v>
      </c>
    </row>
    <row r="160" spans="12:12">
      <c r="L160">
        <v>6208.5074000000004</v>
      </c>
    </row>
    <row r="161" spans="12:12">
      <c r="L161">
        <v>7326.3296</v>
      </c>
    </row>
    <row r="162" spans="12:12">
      <c r="L162">
        <v>6678.6145999999999</v>
      </c>
    </row>
    <row r="163" spans="12:12">
      <c r="L163">
        <v>6871.4114</v>
      </c>
    </row>
    <row r="164" spans="12:12">
      <c r="L164">
        <v>6871.4114</v>
      </c>
    </row>
    <row r="165" spans="12:12">
      <c r="L165">
        <v>6288.5074000000004</v>
      </c>
    </row>
    <row r="166" spans="12:12">
      <c r="L166">
        <v>8724.8960999999999</v>
      </c>
    </row>
    <row r="167" spans="12:12">
      <c r="L167">
        <v>6038.8278</v>
      </c>
    </row>
    <row r="168" spans="12:12">
      <c r="L168">
        <v>6288.5074000000004</v>
      </c>
    </row>
    <row r="169" spans="12:12">
      <c r="L169">
        <v>6511.4114</v>
      </c>
    </row>
    <row r="170" spans="12:12">
      <c r="L170">
        <v>8200.2077000000008</v>
      </c>
    </row>
    <row r="171" spans="12:12">
      <c r="L171">
        <v>7690.2966999999999</v>
      </c>
    </row>
    <row r="172" spans="12:12">
      <c r="L172">
        <v>7458.3024999999998</v>
      </c>
    </row>
    <row r="173" spans="12:12">
      <c r="L173">
        <v>6208.5074000000004</v>
      </c>
    </row>
    <row r="174" spans="12:12">
      <c r="L174">
        <v>6511.4114</v>
      </c>
    </row>
    <row r="175" spans="12:12">
      <c r="L175">
        <v>7119.4817999999996</v>
      </c>
    </row>
    <row r="176" spans="12:12">
      <c r="L176">
        <v>6038.8278</v>
      </c>
    </row>
    <row r="177" spans="12:12">
      <c r="L177">
        <v>6693.6905999999999</v>
      </c>
    </row>
    <row r="178" spans="12:12">
      <c r="L178">
        <v>6871.4114</v>
      </c>
    </row>
    <row r="179" spans="12:12">
      <c r="L179">
        <v>7119.4817999999996</v>
      </c>
    </row>
    <row r="180" spans="12:12">
      <c r="L180">
        <v>6587.7947000000004</v>
      </c>
    </row>
    <row r="181" spans="12:12">
      <c r="L181">
        <v>6227.7947000000004</v>
      </c>
    </row>
    <row r="182" spans="12:12">
      <c r="L182">
        <v>6378.5481</v>
      </c>
    </row>
    <row r="183" spans="12:12">
      <c r="L183">
        <v>8050.2966999999999</v>
      </c>
    </row>
    <row r="184" spans="12:12">
      <c r="L184">
        <v>7326.3296</v>
      </c>
    </row>
    <row r="185" spans="12:12">
      <c r="L185">
        <v>7458.3024999999998</v>
      </c>
    </row>
    <row r="186" spans="12:12">
      <c r="L186">
        <v>8200.2077000000008</v>
      </c>
    </row>
    <row r="187" spans="12:12">
      <c r="L187">
        <v>6996.4845999999998</v>
      </c>
    </row>
    <row r="188" spans="12:12">
      <c r="L188">
        <v>6587.7947000000004</v>
      </c>
    </row>
    <row r="189" spans="12:12">
      <c r="L189">
        <v>5881.9800999999998</v>
      </c>
    </row>
    <row r="190" spans="12:12">
      <c r="L190">
        <v>7119.4817999999996</v>
      </c>
    </row>
    <row r="191" spans="12:12">
      <c r="L191">
        <v>6693.6905999999999</v>
      </c>
    </row>
    <row r="192" spans="12:12">
      <c r="L192">
        <v>6871.4114</v>
      </c>
    </row>
    <row r="193" spans="12:12">
      <c r="L193">
        <v>6693.6905999999999</v>
      </c>
    </row>
    <row r="194" spans="12:12">
      <c r="L194">
        <v>7690.2966999999999</v>
      </c>
    </row>
    <row r="195" spans="12:12">
      <c r="L195">
        <v>6973.6905999999999</v>
      </c>
    </row>
    <row r="196" spans="12:12">
      <c r="L196">
        <v>5881.9800999999998</v>
      </c>
    </row>
    <row r="197" spans="12:12">
      <c r="L197">
        <v>6871.4114</v>
      </c>
    </row>
    <row r="198" spans="12:12">
      <c r="L198">
        <v>6511.4114</v>
      </c>
    </row>
    <row r="199" spans="12:12">
      <c r="L199">
        <v>6038.8278</v>
      </c>
    </row>
    <row r="200" spans="12:12">
      <c r="L200">
        <v>6511.4114</v>
      </c>
    </row>
    <row r="201" spans="12:12">
      <c r="L201">
        <v>6121.9634999999998</v>
      </c>
    </row>
    <row r="202" spans="12:12">
      <c r="L202">
        <v>7326.3296</v>
      </c>
    </row>
    <row r="203" spans="12:12">
      <c r="L203">
        <v>7119.4817999999996</v>
      </c>
    </row>
    <row r="204" spans="12:12">
      <c r="L204">
        <v>6996.4845999999998</v>
      </c>
    </row>
    <row r="205" spans="12:12">
      <c r="L205">
        <v>6678.6145999999999</v>
      </c>
    </row>
    <row r="206" spans="12:12">
      <c r="L206">
        <v>6587.7947000000004</v>
      </c>
    </row>
    <row r="207" spans="12:12">
      <c r="L207">
        <v>6973.6905999999999</v>
      </c>
    </row>
    <row r="208" spans="12:12">
      <c r="L208">
        <v>6121.9634999999998</v>
      </c>
    </row>
    <row r="209" spans="12:12">
      <c r="L209">
        <v>6511.4114</v>
      </c>
    </row>
    <row r="210" spans="12:12">
      <c r="L210">
        <v>7246.3296</v>
      </c>
    </row>
    <row r="211" spans="12:12">
      <c r="L211">
        <v>6587.7947000000004</v>
      </c>
    </row>
    <row r="212" spans="12:12">
      <c r="L212">
        <v>6973.6905999999999</v>
      </c>
    </row>
    <row r="213" spans="12:12">
      <c r="L213">
        <v>6227.7947000000004</v>
      </c>
    </row>
    <row r="214" spans="12:12">
      <c r="L214">
        <v>6208.5074000000004</v>
      </c>
    </row>
    <row r="215" spans="12:12">
      <c r="L215">
        <v>7246.3296</v>
      </c>
    </row>
    <row r="216" spans="12:12">
      <c r="L216">
        <v>6693.6905999999999</v>
      </c>
    </row>
    <row r="217" spans="12:12">
      <c r="L217">
        <v>6038.8278</v>
      </c>
    </row>
    <row r="218" spans="12:12">
      <c r="L218">
        <v>6587.7947000000004</v>
      </c>
    </row>
    <row r="219" spans="12:12">
      <c r="L219">
        <v>6587.7947000000004</v>
      </c>
    </row>
    <row r="220" spans="12:12">
      <c r="L220">
        <v>7920.2076999999999</v>
      </c>
    </row>
    <row r="221" spans="12:12">
      <c r="L221">
        <v>6693.6905999999999</v>
      </c>
    </row>
    <row r="222" spans="12:12">
      <c r="L222">
        <v>5958.8278</v>
      </c>
    </row>
    <row r="223" spans="12:12">
      <c r="L223">
        <v>5958.8278</v>
      </c>
    </row>
    <row r="224" spans="12:12">
      <c r="L224">
        <v>6288.5074000000004</v>
      </c>
    </row>
    <row r="225" spans="12:12">
      <c r="L225">
        <v>7326.3296</v>
      </c>
    </row>
    <row r="226" spans="12:12">
      <c r="L226">
        <v>8724.8960999999999</v>
      </c>
    </row>
    <row r="227" spans="12:12">
      <c r="L227">
        <v>6587.7947000000004</v>
      </c>
    </row>
    <row r="228" spans="12:12">
      <c r="L228">
        <v>7331.6679999999997</v>
      </c>
    </row>
    <row r="229" spans="12:12">
      <c r="L229">
        <v>6678.6145999999999</v>
      </c>
    </row>
    <row r="230" spans="12:12">
      <c r="L230">
        <v>6587.7947000000004</v>
      </c>
    </row>
    <row r="231" spans="12:12">
      <c r="L231">
        <v>7331.6679999999997</v>
      </c>
    </row>
    <row r="232" spans="12:12">
      <c r="L232">
        <v>5881.9800999999998</v>
      </c>
    </row>
    <row r="233" spans="12:12">
      <c r="L233">
        <v>6038.8278</v>
      </c>
    </row>
    <row r="234" spans="12:12">
      <c r="L234">
        <v>7920.2076999999999</v>
      </c>
    </row>
    <row r="235" spans="12:12">
      <c r="L235">
        <v>6378.5481</v>
      </c>
    </row>
    <row r="236" spans="12:12">
      <c r="L236">
        <v>6118.7803999999996</v>
      </c>
    </row>
    <row r="237" spans="12:12">
      <c r="L237">
        <v>7119.4817999999996</v>
      </c>
    </row>
    <row r="238" spans="12:12">
      <c r="L238">
        <v>6288.5074000000004</v>
      </c>
    </row>
    <row r="239" spans="12:12">
      <c r="L239">
        <v>7690.2966999999999</v>
      </c>
    </row>
    <row r="240" spans="12:12">
      <c r="L240">
        <v>6288.5074000000004</v>
      </c>
    </row>
    <row r="241" spans="12:12">
      <c r="L241">
        <v>7458.3024999999998</v>
      </c>
    </row>
    <row r="242" spans="12:12">
      <c r="L242">
        <v>6288.5074000000004</v>
      </c>
    </row>
    <row r="243" spans="12:12">
      <c r="L243">
        <v>6118.7803999999996</v>
      </c>
    </row>
    <row r="244" spans="12:12">
      <c r="L244">
        <v>6511.4114</v>
      </c>
    </row>
    <row r="245" spans="12:12">
      <c r="L245">
        <v>6118.7803999999996</v>
      </c>
    </row>
    <row r="246" spans="12:12">
      <c r="L246">
        <v>6511.4114</v>
      </c>
    </row>
    <row r="247" spans="12:12">
      <c r="L247">
        <v>6693.6905999999999</v>
      </c>
    </row>
    <row r="248" spans="12:12">
      <c r="L248">
        <v>7326.3296</v>
      </c>
    </row>
    <row r="249" spans="12:12">
      <c r="L249">
        <v>6511.4114</v>
      </c>
    </row>
    <row r="250" spans="12:12">
      <c r="L250">
        <v>5958.8278</v>
      </c>
    </row>
    <row r="251" spans="12:12">
      <c r="L251">
        <v>6871.4114</v>
      </c>
    </row>
    <row r="252" spans="12:12">
      <c r="L252">
        <v>6118.7803999999996</v>
      </c>
    </row>
    <row r="253" spans="12:12">
      <c r="L253">
        <v>6038.8278</v>
      </c>
    </row>
    <row r="254" spans="12:12">
      <c r="L254">
        <v>7920.2076999999999</v>
      </c>
    </row>
    <row r="255" spans="12:12">
      <c r="L255">
        <v>6208.5074000000004</v>
      </c>
    </row>
    <row r="256" spans="12:12">
      <c r="L256">
        <v>7458.3024999999998</v>
      </c>
    </row>
    <row r="257" spans="12:12">
      <c r="L257">
        <v>7690.2966999999999</v>
      </c>
    </row>
    <row r="258" spans="12:12">
      <c r="L258">
        <v>6208.5074000000004</v>
      </c>
    </row>
    <row r="259" spans="12:12">
      <c r="L259">
        <v>7690.2966999999999</v>
      </c>
    </row>
    <row r="260" spans="12:12">
      <c r="L260">
        <v>7331.6679999999997</v>
      </c>
    </row>
    <row r="261" spans="12:12">
      <c r="L261">
        <v>6871.4114</v>
      </c>
    </row>
    <row r="262" spans="12:12">
      <c r="L262">
        <v>7331.6679999999997</v>
      </c>
    </row>
    <row r="263" spans="12:12">
      <c r="L263">
        <v>6693.6905999999999</v>
      </c>
    </row>
    <row r="264" spans="12:12">
      <c r="L264">
        <v>8050.2966999999999</v>
      </c>
    </row>
    <row r="265" spans="12:12">
      <c r="L265">
        <v>7246.3296</v>
      </c>
    </row>
    <row r="266" spans="12:12">
      <c r="L266">
        <v>5958.8278</v>
      </c>
    </row>
    <row r="267" spans="12:12">
      <c r="L267">
        <v>6208.5074000000004</v>
      </c>
    </row>
    <row r="268" spans="12:12">
      <c r="L268">
        <v>6121.9634999999998</v>
      </c>
    </row>
    <row r="269" spans="12:12">
      <c r="L269">
        <v>6227.7947000000004</v>
      </c>
    </row>
    <row r="270" spans="12:12">
      <c r="L270">
        <v>5958.8278</v>
      </c>
    </row>
    <row r="271" spans="12:12">
      <c r="L271">
        <v>5958.8278</v>
      </c>
    </row>
    <row r="272" spans="12:12">
      <c r="L272">
        <v>6587.7947000000004</v>
      </c>
    </row>
    <row r="273" spans="12:12">
      <c r="L273">
        <v>6121.9634999999998</v>
      </c>
    </row>
    <row r="274" spans="12:12">
      <c r="L274">
        <v>6227.7947000000004</v>
      </c>
    </row>
    <row r="275" spans="12:12">
      <c r="L275">
        <v>6121.9634999999998</v>
      </c>
    </row>
    <row r="276" spans="12:12">
      <c r="L276">
        <v>8050.2966999999999</v>
      </c>
    </row>
    <row r="277" spans="12:12">
      <c r="L277">
        <v>6511.4114</v>
      </c>
    </row>
    <row r="278" spans="12:12">
      <c r="L278">
        <v>6973.6905999999999</v>
      </c>
    </row>
    <row r="279" spans="12:12">
      <c r="L279">
        <v>6973.6905999999999</v>
      </c>
    </row>
    <row r="280" spans="12:12">
      <c r="L280">
        <v>8200.2077000000008</v>
      </c>
    </row>
    <row r="281" spans="12:12">
      <c r="L281">
        <v>5958.8278</v>
      </c>
    </row>
    <row r="282" spans="12:12">
      <c r="L282">
        <v>8050.2966999999999</v>
      </c>
    </row>
    <row r="283" spans="12:12">
      <c r="L283">
        <v>7246.3296</v>
      </c>
    </row>
    <row r="284" spans="12:12">
      <c r="L284">
        <v>6511.4114</v>
      </c>
    </row>
    <row r="285" spans="12:12">
      <c r="L285">
        <v>8724.8960999999999</v>
      </c>
    </row>
    <row r="286" spans="12:12">
      <c r="L286">
        <v>7326.3296</v>
      </c>
    </row>
    <row r="287" spans="12:12">
      <c r="L287">
        <v>6973.6905999999999</v>
      </c>
    </row>
    <row r="288" spans="12:12">
      <c r="L288">
        <v>6587.7947000000004</v>
      </c>
    </row>
    <row r="289" spans="12:12">
      <c r="L289">
        <v>6871.4114</v>
      </c>
    </row>
    <row r="290" spans="12:12">
      <c r="L290">
        <v>6973.6905999999999</v>
      </c>
    </row>
    <row r="291" spans="12:12">
      <c r="L291">
        <v>6398.6145999999999</v>
      </c>
    </row>
    <row r="292" spans="12:12">
      <c r="L292">
        <v>6038.8278</v>
      </c>
    </row>
    <row r="293" spans="12:12">
      <c r="L293">
        <v>6693.6905999999999</v>
      </c>
    </row>
    <row r="294" spans="12:12">
      <c r="L294">
        <v>6378.5481</v>
      </c>
    </row>
    <row r="295" spans="12:12">
      <c r="L295">
        <v>7458.3024999999998</v>
      </c>
    </row>
    <row r="296" spans="12:12">
      <c r="L296">
        <v>7119.4817999999996</v>
      </c>
    </row>
    <row r="297" spans="12:12">
      <c r="L297">
        <v>5958.8278</v>
      </c>
    </row>
    <row r="298" spans="12:12">
      <c r="L298">
        <v>6973.6905999999999</v>
      </c>
    </row>
    <row r="299" spans="12:12">
      <c r="L299">
        <v>8050.2966999999999</v>
      </c>
    </row>
    <row r="300" spans="12:12">
      <c r="L300">
        <v>7246.3296</v>
      </c>
    </row>
    <row r="301" spans="12:12">
      <c r="L301">
        <v>6288.5074000000004</v>
      </c>
    </row>
    <row r="302" spans="12:12">
      <c r="L302">
        <v>6208.5074000000004</v>
      </c>
    </row>
    <row r="303" spans="12:12">
      <c r="L303">
        <v>5958.8278</v>
      </c>
    </row>
    <row r="304" spans="12:12">
      <c r="L304">
        <v>8724.8960999999999</v>
      </c>
    </row>
    <row r="305" spans="12:12">
      <c r="L305">
        <v>7246.3296</v>
      </c>
    </row>
    <row r="306" spans="12:12">
      <c r="L306">
        <v>7326.3296</v>
      </c>
    </row>
    <row r="307" spans="12:12">
      <c r="L307">
        <v>6678.6145999999999</v>
      </c>
    </row>
    <row r="308" spans="12:12">
      <c r="L308">
        <v>7458.3024999999998</v>
      </c>
    </row>
    <row r="309" spans="12:12">
      <c r="L309">
        <v>8724.8960999999999</v>
      </c>
    </row>
    <row r="310" spans="12:12">
      <c r="L310">
        <v>7326.3296</v>
      </c>
    </row>
    <row r="311" spans="12:12">
      <c r="L311">
        <v>7920.2076999999999</v>
      </c>
    </row>
    <row r="312" spans="12:12">
      <c r="L312">
        <v>7690.2966999999999</v>
      </c>
    </row>
    <row r="313" spans="12:12">
      <c r="L313">
        <v>6118.7803999999996</v>
      </c>
    </row>
    <row r="314" spans="12:12">
      <c r="L314">
        <v>6378.5481</v>
      </c>
    </row>
    <row r="315" spans="12:12">
      <c r="L315">
        <v>7246.3296</v>
      </c>
    </row>
    <row r="316" spans="12:12">
      <c r="L316">
        <v>8200.2077000000008</v>
      </c>
    </row>
    <row r="317" spans="12:12">
      <c r="L317">
        <v>7246.3296</v>
      </c>
    </row>
    <row r="318" spans="12:12">
      <c r="L318">
        <v>7119.4817999999996</v>
      </c>
    </row>
    <row r="319" spans="12:12">
      <c r="L319">
        <v>6678.6145999999999</v>
      </c>
    </row>
    <row r="320" spans="12:12">
      <c r="L320">
        <v>8200.2077000000008</v>
      </c>
    </row>
    <row r="321" spans="12:12">
      <c r="L321">
        <v>6511.4114</v>
      </c>
    </row>
    <row r="322" spans="12:12">
      <c r="L322">
        <v>6678.6145999999999</v>
      </c>
    </row>
    <row r="323" spans="12:12">
      <c r="L323">
        <v>7246.3296</v>
      </c>
    </row>
    <row r="324" spans="12:12">
      <c r="L324">
        <v>7458.3024999999998</v>
      </c>
    </row>
    <row r="325" spans="12:12">
      <c r="L325">
        <v>7920.2076999999999</v>
      </c>
    </row>
    <row r="326" spans="12:12">
      <c r="L326">
        <v>7326.3296</v>
      </c>
    </row>
    <row r="327" spans="12:12">
      <c r="L327">
        <v>6208.5074000000004</v>
      </c>
    </row>
    <row r="328" spans="12:12">
      <c r="L328">
        <v>5881.9800999999998</v>
      </c>
    </row>
    <row r="329" spans="12:12">
      <c r="L329">
        <v>7326.3296</v>
      </c>
    </row>
    <row r="330" spans="12:12">
      <c r="L330">
        <v>6398.6145999999999</v>
      </c>
    </row>
    <row r="331" spans="12:12">
      <c r="L331">
        <v>7246.3296</v>
      </c>
    </row>
    <row r="332" spans="12:12">
      <c r="L332">
        <v>5958.8278</v>
      </c>
    </row>
    <row r="333" spans="12:12">
      <c r="L333">
        <v>6121.9634999999998</v>
      </c>
    </row>
    <row r="334" spans="12:12">
      <c r="L334">
        <v>7119.4817999999996</v>
      </c>
    </row>
    <row r="335" spans="12:12">
      <c r="L335">
        <v>6378.5481</v>
      </c>
    </row>
    <row r="336" spans="12:12">
      <c r="L336">
        <v>8724.8960999999999</v>
      </c>
    </row>
    <row r="337" spans="12:12">
      <c r="L337">
        <v>5881.9800999999998</v>
      </c>
    </row>
    <row r="338" spans="12:12">
      <c r="L338">
        <v>6288.5074000000004</v>
      </c>
    </row>
    <row r="339" spans="12:12">
      <c r="L339">
        <v>7920.2076999999999</v>
      </c>
    </row>
    <row r="340" spans="12:12">
      <c r="L340">
        <v>6587.7947000000004</v>
      </c>
    </row>
    <row r="341" spans="12:12">
      <c r="L341">
        <v>7690.2966999999999</v>
      </c>
    </row>
    <row r="342" spans="12:12">
      <c r="L342">
        <v>7119.4817999999996</v>
      </c>
    </row>
    <row r="343" spans="12:12">
      <c r="L343">
        <v>6678.6145999999999</v>
      </c>
    </row>
    <row r="344" spans="12:12">
      <c r="L344">
        <v>6871.4114</v>
      </c>
    </row>
    <row r="345" spans="12:12">
      <c r="L345">
        <v>6227.7947000000004</v>
      </c>
    </row>
    <row r="346" spans="12:12">
      <c r="L346">
        <v>5958.8278</v>
      </c>
    </row>
    <row r="347" spans="12:12">
      <c r="L347">
        <v>6038.8278</v>
      </c>
    </row>
    <row r="348" spans="12:12">
      <c r="L348">
        <v>6693.6905999999999</v>
      </c>
    </row>
    <row r="349" spans="12:12">
      <c r="L349">
        <v>6227.7947000000004</v>
      </c>
    </row>
    <row r="350" spans="12:12">
      <c r="L350">
        <v>6118.7803999999996</v>
      </c>
    </row>
    <row r="351" spans="12:12">
      <c r="L351">
        <v>6118.7803999999996</v>
      </c>
    </row>
    <row r="352" spans="12:12">
      <c r="L352">
        <v>8724.8960999999999</v>
      </c>
    </row>
    <row r="353" spans="12:12">
      <c r="L353">
        <v>5881.9800999999998</v>
      </c>
    </row>
    <row r="354" spans="12:12">
      <c r="L354">
        <v>6398.6145999999999</v>
      </c>
    </row>
    <row r="355" spans="12:12">
      <c r="L355">
        <v>6996.4845999999998</v>
      </c>
    </row>
    <row r="356" spans="12:12">
      <c r="L356">
        <v>8200.2077000000008</v>
      </c>
    </row>
    <row r="357" spans="12:12">
      <c r="L357">
        <v>6678.6145999999999</v>
      </c>
    </row>
    <row r="358" spans="12:12">
      <c r="L358">
        <v>6227.7947000000004</v>
      </c>
    </row>
    <row r="359" spans="12:12">
      <c r="L359">
        <v>6038.8278</v>
      </c>
    </row>
    <row r="360" spans="12:12">
      <c r="L360">
        <v>6511.4114</v>
      </c>
    </row>
    <row r="361" spans="12:12">
      <c r="L361">
        <v>6208.5074000000004</v>
      </c>
    </row>
    <row r="362" spans="12:12">
      <c r="L362">
        <v>7246.3296</v>
      </c>
    </row>
    <row r="363" spans="12:12">
      <c r="L363">
        <v>8200.2077000000008</v>
      </c>
    </row>
    <row r="364" spans="12:12">
      <c r="L364">
        <v>6973.6905999999999</v>
      </c>
    </row>
    <row r="365" spans="12:12">
      <c r="L365">
        <v>8050.2966999999999</v>
      </c>
    </row>
    <row r="366" spans="12:12">
      <c r="L366">
        <v>6121.9634999999998</v>
      </c>
    </row>
    <row r="367" spans="12:12">
      <c r="L367">
        <v>7920.2076999999999</v>
      </c>
    </row>
    <row r="368" spans="12:12">
      <c r="L368">
        <v>8724.8960999999999</v>
      </c>
    </row>
    <row r="369" spans="12:12">
      <c r="L369">
        <v>6996.4845999999998</v>
      </c>
    </row>
    <row r="370" spans="12:12">
      <c r="L370">
        <v>7458.3024999999998</v>
      </c>
    </row>
    <row r="371" spans="12:12">
      <c r="L371">
        <v>6227.7947000000004</v>
      </c>
    </row>
    <row r="372" spans="12:12">
      <c r="L372">
        <v>6038.8278</v>
      </c>
    </row>
    <row r="373" spans="12:12">
      <c r="L373">
        <v>8050.2966999999999</v>
      </c>
    </row>
    <row r="374" spans="12:12">
      <c r="L374">
        <v>6208.5074000000004</v>
      </c>
    </row>
    <row r="375" spans="12:12">
      <c r="L375">
        <v>6511.4114</v>
      </c>
    </row>
    <row r="376" spans="12:12">
      <c r="L376">
        <v>8200.2077000000008</v>
      </c>
    </row>
    <row r="377" spans="12:12">
      <c r="L377">
        <v>6511.4114</v>
      </c>
    </row>
    <row r="378" spans="12:12">
      <c r="L378">
        <v>6973.6905999999999</v>
      </c>
    </row>
    <row r="379" spans="12:12">
      <c r="L379">
        <v>7119.4817999999996</v>
      </c>
    </row>
    <row r="380" spans="12:12">
      <c r="L380">
        <v>6996.4845999999998</v>
      </c>
    </row>
    <row r="381" spans="12:12">
      <c r="L381">
        <v>6121.9634999999998</v>
      </c>
    </row>
    <row r="382" spans="12:12">
      <c r="L382">
        <v>7331.6679999999997</v>
      </c>
    </row>
    <row r="383" spans="12:12">
      <c r="L383">
        <v>6398.6145999999999</v>
      </c>
    </row>
    <row r="384" spans="12:12">
      <c r="L384">
        <v>6973.6905999999999</v>
      </c>
    </row>
    <row r="385" spans="12:12">
      <c r="L385">
        <v>7331.6679999999997</v>
      </c>
    </row>
    <row r="386" spans="12:12">
      <c r="L386">
        <v>7458.3024999999998</v>
      </c>
    </row>
    <row r="387" spans="12:12">
      <c r="L387">
        <v>5881.9800999999998</v>
      </c>
    </row>
    <row r="388" spans="12:12">
      <c r="L388">
        <v>6693.6905999999999</v>
      </c>
    </row>
    <row r="389" spans="12:12">
      <c r="L389">
        <v>6996.4845999999998</v>
      </c>
    </row>
    <row r="390" spans="12:12">
      <c r="L390">
        <v>6208.5074000000004</v>
      </c>
    </row>
    <row r="391" spans="12:12">
      <c r="L391">
        <v>5881.9800999999998</v>
      </c>
    </row>
    <row r="392" spans="12:12">
      <c r="L392">
        <v>7326.3296</v>
      </c>
    </row>
    <row r="393" spans="12:12">
      <c r="L393">
        <v>5958.8278</v>
      </c>
    </row>
    <row r="394" spans="12:12">
      <c r="L394">
        <v>6996.4845999999998</v>
      </c>
    </row>
    <row r="395" spans="12:12">
      <c r="L395">
        <v>6208.5074000000004</v>
      </c>
    </row>
    <row r="396" spans="12:12">
      <c r="L396">
        <v>6587.7947000000004</v>
      </c>
    </row>
    <row r="397" spans="12:12">
      <c r="L397">
        <v>6511.4114</v>
      </c>
    </row>
    <row r="398" spans="12:12">
      <c r="L398">
        <v>6693.6905999999999</v>
      </c>
    </row>
    <row r="399" spans="12:12">
      <c r="L399">
        <v>7246.3296</v>
      </c>
    </row>
    <row r="400" spans="12:12">
      <c r="L400">
        <v>8050.2966999999999</v>
      </c>
    </row>
    <row r="401" spans="12:12">
      <c r="L401">
        <v>6678.6145999999999</v>
      </c>
    </row>
    <row r="402" spans="12:12">
      <c r="L402">
        <v>6121.9634999999998</v>
      </c>
    </row>
    <row r="403" spans="12:12">
      <c r="L403">
        <v>6227.7947000000004</v>
      </c>
    </row>
    <row r="404" spans="12:12">
      <c r="L404">
        <v>7246.3296</v>
      </c>
    </row>
    <row r="405" spans="12:12">
      <c r="L405">
        <v>6871.4114</v>
      </c>
    </row>
    <row r="406" spans="12:12">
      <c r="L406">
        <v>5881.9800999999998</v>
      </c>
    </row>
    <row r="407" spans="12:12">
      <c r="L407">
        <v>7331.6679999999997</v>
      </c>
    </row>
    <row r="408" spans="12:12">
      <c r="L408">
        <v>5958.8278</v>
      </c>
    </row>
    <row r="409" spans="12:12">
      <c r="L409">
        <v>5881.9800999999998</v>
      </c>
    </row>
    <row r="410" spans="12:12">
      <c r="L410">
        <v>6121.9634999999998</v>
      </c>
    </row>
    <row r="411" spans="12:12">
      <c r="L411">
        <v>8200.2077000000008</v>
      </c>
    </row>
    <row r="412" spans="12:12">
      <c r="L412">
        <v>7119.4817999999996</v>
      </c>
    </row>
    <row r="413" spans="12:12">
      <c r="L413">
        <v>7920.2076999999999</v>
      </c>
    </row>
    <row r="414" spans="12:12">
      <c r="L414">
        <v>5881.9800999999998</v>
      </c>
    </row>
    <row r="415" spans="12:12">
      <c r="L415">
        <v>6378.5481</v>
      </c>
    </row>
    <row r="416" spans="12:12">
      <c r="L416">
        <v>7119.4817999999996</v>
      </c>
    </row>
    <row r="417" spans="12:12">
      <c r="L417">
        <v>6973.6905999999999</v>
      </c>
    </row>
    <row r="418" spans="12:12">
      <c r="L418">
        <v>6678.6145999999999</v>
      </c>
    </row>
    <row r="419" spans="12:12">
      <c r="L419">
        <v>6587.7947000000004</v>
      </c>
    </row>
    <row r="420" spans="12:12">
      <c r="L420">
        <v>6378.5481</v>
      </c>
    </row>
    <row r="421" spans="12:12">
      <c r="L421">
        <v>6693.6905999999999</v>
      </c>
    </row>
    <row r="422" spans="12:12">
      <c r="L422">
        <v>6693.6905999999999</v>
      </c>
    </row>
    <row r="423" spans="12:12">
      <c r="L423">
        <v>6587.7947000000004</v>
      </c>
    </row>
    <row r="424" spans="12:12">
      <c r="L424">
        <v>7920.2076999999999</v>
      </c>
    </row>
    <row r="425" spans="12:12">
      <c r="L425">
        <v>7458.3024999999998</v>
      </c>
    </row>
    <row r="426" spans="12:12">
      <c r="L426">
        <v>7326.3296</v>
      </c>
    </row>
    <row r="427" spans="12:12">
      <c r="L427">
        <v>8724.8960999999999</v>
      </c>
    </row>
    <row r="428" spans="12:12">
      <c r="L428">
        <v>7119.4817999999996</v>
      </c>
    </row>
    <row r="429" spans="12:12">
      <c r="L429">
        <v>6378.5481</v>
      </c>
    </row>
    <row r="430" spans="12:12">
      <c r="L430">
        <v>8050.2966999999999</v>
      </c>
    </row>
    <row r="431" spans="12:12">
      <c r="L431">
        <v>6288.5074000000004</v>
      </c>
    </row>
    <row r="432" spans="12:12">
      <c r="L432">
        <v>8050.2966999999999</v>
      </c>
    </row>
    <row r="433" spans="12:12">
      <c r="L433">
        <v>6118.7803999999996</v>
      </c>
    </row>
    <row r="434" spans="12:12">
      <c r="L434">
        <v>6288.5074000000004</v>
      </c>
    </row>
    <row r="435" spans="12:12">
      <c r="L435">
        <v>6511.4114</v>
      </c>
    </row>
    <row r="436" spans="12:12">
      <c r="L436">
        <v>6678.6145999999999</v>
      </c>
    </row>
    <row r="437" spans="12:12">
      <c r="L437">
        <v>7920.2076999999999</v>
      </c>
    </row>
    <row r="438" spans="12:12">
      <c r="L438">
        <v>6871.4114</v>
      </c>
    </row>
    <row r="439" spans="12:12">
      <c r="L439">
        <v>6378.5481</v>
      </c>
    </row>
    <row r="440" spans="12:12">
      <c r="L440">
        <v>7458.3024999999998</v>
      </c>
    </row>
    <row r="441" spans="12:12">
      <c r="L441">
        <v>7920.2076999999999</v>
      </c>
    </row>
    <row r="442" spans="12:12">
      <c r="L442">
        <v>6288.5074000000004</v>
      </c>
    </row>
    <row r="443" spans="12:12">
      <c r="L443">
        <v>7458.3024999999998</v>
      </c>
    </row>
    <row r="444" spans="12:12">
      <c r="L444">
        <v>6398.6145999999999</v>
      </c>
    </row>
    <row r="445" spans="12:12">
      <c r="L445">
        <v>6378.5481</v>
      </c>
    </row>
    <row r="446" spans="12:12">
      <c r="L446">
        <v>6693.6905999999999</v>
      </c>
    </row>
    <row r="447" spans="12:12">
      <c r="L447">
        <v>6871.4114</v>
      </c>
    </row>
    <row r="448" spans="12:12">
      <c r="L448">
        <v>6693.6905999999999</v>
      </c>
    </row>
    <row r="449" spans="12:12">
      <c r="L449">
        <v>5881.9800999999998</v>
      </c>
    </row>
    <row r="450" spans="12:12">
      <c r="L450">
        <v>5881.9800999999998</v>
      </c>
    </row>
    <row r="451" spans="12:12">
      <c r="L451">
        <v>6398.6145999999999</v>
      </c>
    </row>
    <row r="452" spans="12:12">
      <c r="L452">
        <v>7331.6679999999997</v>
      </c>
    </row>
    <row r="453" spans="12:12">
      <c r="L453">
        <v>6398.6145999999999</v>
      </c>
    </row>
    <row r="454" spans="12:12">
      <c r="L454">
        <v>7331.6679999999997</v>
      </c>
    </row>
    <row r="455" spans="12:12">
      <c r="L455">
        <v>6996.4845999999998</v>
      </c>
    </row>
    <row r="456" spans="12:12">
      <c r="L456">
        <v>5881.9800999999998</v>
      </c>
    </row>
    <row r="457" spans="12:12">
      <c r="L457">
        <v>7331.6679999999997</v>
      </c>
    </row>
    <row r="458" spans="12:12">
      <c r="L458">
        <v>6871.4114</v>
      </c>
    </row>
    <row r="459" spans="12:12">
      <c r="L459">
        <v>6208.5074000000004</v>
      </c>
    </row>
    <row r="460" spans="12:12">
      <c r="L460">
        <v>7331.6679999999997</v>
      </c>
    </row>
    <row r="461" spans="12:12">
      <c r="L461">
        <v>7690.2966999999999</v>
      </c>
    </row>
    <row r="462" spans="12:12">
      <c r="L462">
        <v>7331.6679999999997</v>
      </c>
    </row>
    <row r="463" spans="12:12">
      <c r="L463">
        <v>7326.3296</v>
      </c>
    </row>
    <row r="464" spans="12:12">
      <c r="L464">
        <v>7920.2076999999999</v>
      </c>
    </row>
    <row r="465" spans="12:12">
      <c r="L465">
        <v>7246.3296</v>
      </c>
    </row>
    <row r="466" spans="12:12">
      <c r="L466">
        <v>6678.6145999999999</v>
      </c>
    </row>
    <row r="467" spans="12:12">
      <c r="L467">
        <v>7331.6679999999997</v>
      </c>
    </row>
    <row r="468" spans="12:12">
      <c r="L468">
        <v>6038.8278</v>
      </c>
    </row>
    <row r="469" spans="12:12">
      <c r="L469">
        <v>6587.7947000000004</v>
      </c>
    </row>
    <row r="470" spans="12:12">
      <c r="L470">
        <v>6587.7947000000004</v>
      </c>
    </row>
    <row r="471" spans="12:12">
      <c r="L471">
        <v>6038.8278</v>
      </c>
    </row>
    <row r="472" spans="12:12">
      <c r="L472">
        <v>6288.5074000000004</v>
      </c>
    </row>
    <row r="473" spans="12:12">
      <c r="L473">
        <v>6121.9634999999998</v>
      </c>
    </row>
    <row r="474" spans="12:12">
      <c r="L474">
        <v>6288.5074000000004</v>
      </c>
    </row>
    <row r="475" spans="12:12">
      <c r="L475">
        <v>7920.2076999999999</v>
      </c>
    </row>
    <row r="476" spans="12:12">
      <c r="L476">
        <v>7326.3296</v>
      </c>
    </row>
    <row r="477" spans="12:12">
      <c r="L477">
        <v>6587.7947000000004</v>
      </c>
    </row>
    <row r="478" spans="12:12">
      <c r="L478">
        <v>7331.6679999999997</v>
      </c>
    </row>
    <row r="479" spans="12:12">
      <c r="L479">
        <v>8724.8960999999999</v>
      </c>
    </row>
    <row r="480" spans="12:12">
      <c r="L480">
        <v>6398.6145999999999</v>
      </c>
    </row>
    <row r="481" spans="12:12">
      <c r="L481">
        <v>7331.6679999999997</v>
      </c>
    </row>
    <row r="482" spans="12:12">
      <c r="L482">
        <v>6398.6145999999999</v>
      </c>
    </row>
    <row r="483" spans="12:12">
      <c r="L483">
        <v>7331.6679999999997</v>
      </c>
    </row>
    <row r="484" spans="12:12">
      <c r="L484">
        <v>7690.2966999999999</v>
      </c>
    </row>
    <row r="485" spans="12:12">
      <c r="L485">
        <v>5881.9800999999998</v>
      </c>
    </row>
    <row r="486" spans="12:12">
      <c r="L486">
        <v>6511.4114</v>
      </c>
    </row>
    <row r="487" spans="12:12">
      <c r="L487">
        <v>6587.7947000000004</v>
      </c>
    </row>
    <row r="488" spans="12:12">
      <c r="L488">
        <v>5958.8278</v>
      </c>
    </row>
    <row r="489" spans="12:12">
      <c r="L489">
        <v>7326.3296</v>
      </c>
    </row>
    <row r="490" spans="12:12">
      <c r="L490">
        <v>6871.4114</v>
      </c>
    </row>
    <row r="491" spans="12:12">
      <c r="L491">
        <v>7119.4817999999996</v>
      </c>
    </row>
    <row r="492" spans="12:12">
      <c r="L492">
        <v>6038.8278</v>
      </c>
    </row>
    <row r="493" spans="12:12">
      <c r="L493">
        <v>8200.2077000000008</v>
      </c>
    </row>
    <row r="494" spans="12:12">
      <c r="L494">
        <v>6398.6145999999999</v>
      </c>
    </row>
    <row r="495" spans="12:12">
      <c r="L495">
        <v>6121.9634999999998</v>
      </c>
    </row>
    <row r="496" spans="12:12">
      <c r="L496">
        <v>7920.2076999999999</v>
      </c>
    </row>
    <row r="497" spans="12:12">
      <c r="L497">
        <v>7326.3296</v>
      </c>
    </row>
    <row r="498" spans="12:12">
      <c r="L498">
        <v>7331.6679999999997</v>
      </c>
    </row>
    <row r="499" spans="12:12">
      <c r="L499">
        <v>6378.5481</v>
      </c>
    </row>
    <row r="500" spans="12:12">
      <c r="L500">
        <v>7458.3024999999998</v>
      </c>
    </row>
    <row r="501" spans="12:12">
      <c r="L501">
        <v>5881.9800999999998</v>
      </c>
    </row>
    <row r="502" spans="12:12">
      <c r="L502">
        <v>6587.7947000000004</v>
      </c>
    </row>
    <row r="503" spans="12:12">
      <c r="L503">
        <v>8050.2966999999999</v>
      </c>
    </row>
    <row r="504" spans="12:12">
      <c r="L504">
        <v>7458.3024999999998</v>
      </c>
    </row>
    <row r="505" spans="12:12">
      <c r="L505">
        <v>7119.4817999999996</v>
      </c>
    </row>
    <row r="506" spans="12:12">
      <c r="L506">
        <v>5881.9800999999998</v>
      </c>
    </row>
    <row r="507" spans="12:12">
      <c r="L507">
        <v>6511.4114</v>
      </c>
    </row>
    <row r="508" spans="12:12">
      <c r="L508">
        <v>7920.2076999999999</v>
      </c>
    </row>
    <row r="509" spans="12:12">
      <c r="L509">
        <v>7326.3296</v>
      </c>
    </row>
    <row r="510" spans="12:12">
      <c r="L510">
        <v>6996.4845999999998</v>
      </c>
    </row>
    <row r="511" spans="12:12">
      <c r="L511">
        <v>6996.4845999999998</v>
      </c>
    </row>
    <row r="512" spans="12:12">
      <c r="L512">
        <v>6118.7803999999996</v>
      </c>
    </row>
    <row r="513" spans="12:12">
      <c r="L513">
        <v>6587.7947000000004</v>
      </c>
    </row>
    <row r="514" spans="12:12">
      <c r="L514">
        <v>7331.6679999999997</v>
      </c>
    </row>
    <row r="515" spans="12:12">
      <c r="L515">
        <v>6121.9634999999998</v>
      </c>
    </row>
    <row r="516" spans="12:12">
      <c r="L516">
        <v>6208.5074000000004</v>
      </c>
    </row>
    <row r="517" spans="12:12">
      <c r="L517">
        <v>6973.6905999999999</v>
      </c>
    </row>
    <row r="518" spans="12:12">
      <c r="L518">
        <v>6511.4114</v>
      </c>
    </row>
    <row r="519" spans="12:12">
      <c r="L519">
        <v>7331.6679999999997</v>
      </c>
    </row>
    <row r="520" spans="12:12">
      <c r="L520">
        <v>6398.6145999999999</v>
      </c>
    </row>
    <row r="521" spans="12:12">
      <c r="L521">
        <v>6378.5481</v>
      </c>
    </row>
    <row r="522" spans="12:12">
      <c r="L522">
        <v>6378.5481</v>
      </c>
    </row>
    <row r="523" spans="12:12">
      <c r="L523">
        <v>6871.4114</v>
      </c>
    </row>
    <row r="524" spans="12:12">
      <c r="L524">
        <v>7458.3024999999998</v>
      </c>
    </row>
    <row r="525" spans="12:12">
      <c r="L525">
        <v>7326.3296</v>
      </c>
    </row>
    <row r="526" spans="12:12">
      <c r="L526">
        <v>6511.4114</v>
      </c>
    </row>
    <row r="527" spans="12:12">
      <c r="L527">
        <v>6208.5074000000004</v>
      </c>
    </row>
    <row r="528" spans="12:12">
      <c r="L528">
        <v>6227.7947000000004</v>
      </c>
    </row>
    <row r="529" spans="12:12">
      <c r="L529">
        <v>5958.8278</v>
      </c>
    </row>
    <row r="530" spans="12:12">
      <c r="L530">
        <v>6996.4845999999998</v>
      </c>
    </row>
    <row r="531" spans="12:12">
      <c r="L531">
        <v>6678.6145999999999</v>
      </c>
    </row>
    <row r="532" spans="12:12">
      <c r="L532">
        <v>6693.6905999999999</v>
      </c>
    </row>
    <row r="533" spans="12:12">
      <c r="L533">
        <v>5881.9800999999998</v>
      </c>
    </row>
    <row r="534" spans="12:12">
      <c r="L534">
        <v>7119.4817999999996</v>
      </c>
    </row>
    <row r="535" spans="12:12">
      <c r="L535">
        <v>6038.8278</v>
      </c>
    </row>
    <row r="536" spans="12:12">
      <c r="L536">
        <v>6378.5481</v>
      </c>
    </row>
    <row r="537" spans="12:12">
      <c r="L537">
        <v>6587.7947000000004</v>
      </c>
    </row>
    <row r="538" spans="12:12">
      <c r="L538">
        <v>6511.4114</v>
      </c>
    </row>
    <row r="539" spans="12:12">
      <c r="L539">
        <v>6693.6905999999999</v>
      </c>
    </row>
    <row r="540" spans="12:12">
      <c r="L540">
        <v>5881.9800999999998</v>
      </c>
    </row>
    <row r="541" spans="12:12">
      <c r="L541">
        <v>7331.6679999999997</v>
      </c>
    </row>
    <row r="542" spans="12:12">
      <c r="L542">
        <v>6378.5481</v>
      </c>
    </row>
    <row r="543" spans="12:12">
      <c r="L543">
        <v>6398.6145999999999</v>
      </c>
    </row>
    <row r="544" spans="12:12">
      <c r="L544">
        <v>6208.5074000000004</v>
      </c>
    </row>
    <row r="545" spans="12:12">
      <c r="L545">
        <v>8200.2077000000008</v>
      </c>
    </row>
    <row r="546" spans="12:12">
      <c r="L546">
        <v>6398.6145999999999</v>
      </c>
    </row>
    <row r="547" spans="12:12">
      <c r="L547">
        <v>7920.2076999999999</v>
      </c>
    </row>
    <row r="548" spans="12:12">
      <c r="L548">
        <v>7690.2966999999999</v>
      </c>
    </row>
    <row r="549" spans="12:12">
      <c r="L549">
        <v>8200.2077000000008</v>
      </c>
    </row>
    <row r="550" spans="12:12">
      <c r="L550">
        <v>7326.3296</v>
      </c>
    </row>
    <row r="551" spans="12:12">
      <c r="L551">
        <v>7690.2966999999999</v>
      </c>
    </row>
    <row r="552" spans="12:12">
      <c r="L552">
        <v>7246.3296</v>
      </c>
    </row>
    <row r="553" spans="12:12">
      <c r="L553">
        <v>6996.4845999999998</v>
      </c>
    </row>
    <row r="554" spans="12:12">
      <c r="L554">
        <v>6208.5074000000004</v>
      </c>
    </row>
    <row r="555" spans="12:12">
      <c r="L555">
        <v>6227.7947000000004</v>
      </c>
    </row>
    <row r="556" spans="12:12">
      <c r="L556">
        <v>8200.2077000000008</v>
      </c>
    </row>
    <row r="557" spans="12:12">
      <c r="L557">
        <v>6378.5481</v>
      </c>
    </row>
    <row r="558" spans="12:12">
      <c r="L558">
        <v>7920.2076999999999</v>
      </c>
    </row>
    <row r="559" spans="12:12">
      <c r="L559">
        <v>6121.9634999999998</v>
      </c>
    </row>
    <row r="560" spans="12:12">
      <c r="L560">
        <v>6121.9634999999998</v>
      </c>
    </row>
    <row r="561" spans="12:12">
      <c r="L561">
        <v>6511.4114</v>
      </c>
    </row>
    <row r="562" spans="12:12">
      <c r="L562">
        <v>6121.9634999999998</v>
      </c>
    </row>
    <row r="563" spans="12:12">
      <c r="L563">
        <v>5958.8278</v>
      </c>
    </row>
    <row r="564" spans="12:12">
      <c r="L564">
        <v>6587.7947000000004</v>
      </c>
    </row>
    <row r="565" spans="12:12">
      <c r="L565">
        <v>8200.2077000000008</v>
      </c>
    </row>
    <row r="566" spans="12:12">
      <c r="L566">
        <v>6121.9634999999998</v>
      </c>
    </row>
    <row r="567" spans="12:12">
      <c r="L567">
        <v>6996.4845999999998</v>
      </c>
    </row>
    <row r="568" spans="12:12">
      <c r="L568">
        <v>7326.3296</v>
      </c>
    </row>
    <row r="569" spans="12:12">
      <c r="L569">
        <v>7458.3024999999998</v>
      </c>
    </row>
    <row r="570" spans="12:12">
      <c r="L570">
        <v>8200.2077000000008</v>
      </c>
    </row>
    <row r="571" spans="12:12">
      <c r="L571">
        <v>6398.6145999999999</v>
      </c>
    </row>
    <row r="572" spans="12:12">
      <c r="L572">
        <v>7920.2076999999999</v>
      </c>
    </row>
    <row r="573" spans="12:12">
      <c r="L573">
        <v>6973.6905999999999</v>
      </c>
    </row>
    <row r="574" spans="12:12">
      <c r="L574">
        <v>7331.6679999999997</v>
      </c>
    </row>
    <row r="575" spans="12:12">
      <c r="L575">
        <v>6587.7947000000004</v>
      </c>
    </row>
    <row r="576" spans="12:12">
      <c r="L576">
        <v>6208.5074000000004</v>
      </c>
    </row>
    <row r="577" spans="12:12">
      <c r="L577">
        <v>6288.5074000000004</v>
      </c>
    </row>
    <row r="578" spans="12:12">
      <c r="L578">
        <v>7331.6679999999997</v>
      </c>
    </row>
    <row r="579" spans="12:12">
      <c r="L579">
        <v>6398.6145999999999</v>
      </c>
    </row>
    <row r="580" spans="12:12">
      <c r="L580">
        <v>7246.3296</v>
      </c>
    </row>
    <row r="581" spans="12:12">
      <c r="L581">
        <v>6996.4845999999998</v>
      </c>
    </row>
    <row r="582" spans="12:12">
      <c r="L582">
        <v>7246.3296</v>
      </c>
    </row>
    <row r="583" spans="12:12">
      <c r="L583">
        <v>6398.6145999999999</v>
      </c>
    </row>
    <row r="584" spans="12:12">
      <c r="L584">
        <v>6038.8278</v>
      </c>
    </row>
    <row r="585" spans="12:12">
      <c r="L585">
        <v>6038.8278</v>
      </c>
    </row>
    <row r="586" spans="12:12">
      <c r="L586">
        <v>6378.5481</v>
      </c>
    </row>
    <row r="587" spans="12:12">
      <c r="L587">
        <v>7331.6679999999997</v>
      </c>
    </row>
    <row r="588" spans="12:12">
      <c r="L588">
        <v>6288.5074000000004</v>
      </c>
    </row>
    <row r="589" spans="12:12">
      <c r="L589">
        <v>6378.5481</v>
      </c>
    </row>
    <row r="590" spans="12:12">
      <c r="L590">
        <v>8724.8960999999999</v>
      </c>
    </row>
    <row r="591" spans="12:12">
      <c r="L591">
        <v>8050.2966999999999</v>
      </c>
    </row>
    <row r="592" spans="12:12">
      <c r="L592">
        <v>7920.2076999999999</v>
      </c>
    </row>
    <row r="593" spans="12:12">
      <c r="L593">
        <v>7119.4817999999996</v>
      </c>
    </row>
    <row r="594" spans="12:12">
      <c r="L594">
        <v>5881.9800999999998</v>
      </c>
    </row>
    <row r="595" spans="12:12">
      <c r="L595">
        <v>5958.8278</v>
      </c>
    </row>
    <row r="596" spans="12:12">
      <c r="L596">
        <v>6511.4114</v>
      </c>
    </row>
    <row r="597" spans="12:12">
      <c r="L597">
        <v>7246.3296</v>
      </c>
    </row>
    <row r="598" spans="12:12">
      <c r="L598">
        <v>7119.4817999999996</v>
      </c>
    </row>
    <row r="599" spans="12:12">
      <c r="L599">
        <v>6288.5074000000004</v>
      </c>
    </row>
    <row r="600" spans="12:12">
      <c r="L600">
        <v>6996.4845999999998</v>
      </c>
    </row>
    <row r="601" spans="12:12">
      <c r="L601">
        <v>6678.6145999999999</v>
      </c>
    </row>
    <row r="602" spans="12:12">
      <c r="L602">
        <v>6693.6905999999999</v>
      </c>
    </row>
    <row r="603" spans="12:12">
      <c r="L603">
        <v>7326.3296</v>
      </c>
    </row>
    <row r="604" spans="12:12">
      <c r="L604">
        <v>6693.6905999999999</v>
      </c>
    </row>
    <row r="605" spans="12:12">
      <c r="L605">
        <v>6511.4114</v>
      </c>
    </row>
    <row r="606" spans="12:12">
      <c r="L606">
        <v>6511.4114</v>
      </c>
    </row>
    <row r="607" spans="12:12">
      <c r="L607">
        <v>6587.7947000000004</v>
      </c>
    </row>
    <row r="608" spans="12:12">
      <c r="L608">
        <v>7326.3296</v>
      </c>
    </row>
    <row r="609" spans="12:12">
      <c r="L609">
        <v>6038.8278</v>
      </c>
    </row>
    <row r="610" spans="12:12">
      <c r="L610">
        <v>8724.8960999999999</v>
      </c>
    </row>
    <row r="611" spans="12:12">
      <c r="L611">
        <v>6693.6905999999999</v>
      </c>
    </row>
    <row r="612" spans="12:12">
      <c r="L612">
        <v>5881.9800999999998</v>
      </c>
    </row>
    <row r="613" spans="12:12">
      <c r="L613">
        <v>7458.3024999999998</v>
      </c>
    </row>
    <row r="614" spans="12:12">
      <c r="L614">
        <v>7690.2966999999999</v>
      </c>
    </row>
    <row r="615" spans="12:12">
      <c r="L615">
        <v>7331.6679999999997</v>
      </c>
    </row>
    <row r="616" spans="12:12">
      <c r="L616">
        <v>6398.6145999999999</v>
      </c>
    </row>
    <row r="617" spans="12:12">
      <c r="L617">
        <v>6038.8278</v>
      </c>
    </row>
    <row r="618" spans="12:12">
      <c r="L618">
        <v>5881.9800999999998</v>
      </c>
    </row>
    <row r="619" spans="12:12">
      <c r="L619">
        <v>8200.2077000000008</v>
      </c>
    </row>
    <row r="620" spans="12:12">
      <c r="L620">
        <v>7119.4817999999996</v>
      </c>
    </row>
    <row r="621" spans="12:12">
      <c r="L621">
        <v>6288.5074000000004</v>
      </c>
    </row>
    <row r="622" spans="12:12">
      <c r="L622">
        <v>5881.9800999999998</v>
      </c>
    </row>
    <row r="623" spans="12:12">
      <c r="L623">
        <v>6871.4114</v>
      </c>
    </row>
    <row r="624" spans="12:12">
      <c r="L624">
        <v>6678.6145999999999</v>
      </c>
    </row>
    <row r="625" spans="12:12">
      <c r="L625">
        <v>7331.6679999999997</v>
      </c>
    </row>
    <row r="626" spans="12:12">
      <c r="L626">
        <v>7246.3296</v>
      </c>
    </row>
    <row r="627" spans="12:12">
      <c r="L627">
        <v>6973.6905999999999</v>
      </c>
    </row>
    <row r="628" spans="12:12">
      <c r="L628">
        <v>7690.2966999999999</v>
      </c>
    </row>
    <row r="629" spans="12:12">
      <c r="L629">
        <v>8200.2077000000008</v>
      </c>
    </row>
    <row r="630" spans="12:12">
      <c r="L630">
        <v>6121.9634999999998</v>
      </c>
    </row>
    <row r="631" spans="12:12">
      <c r="L631">
        <v>7458.3024999999998</v>
      </c>
    </row>
    <row r="632" spans="12:12">
      <c r="L632">
        <v>6121.9634999999998</v>
      </c>
    </row>
    <row r="633" spans="12:12">
      <c r="L633">
        <v>8724.8960999999999</v>
      </c>
    </row>
    <row r="634" spans="12:12">
      <c r="L634">
        <v>8050.2966999999999</v>
      </c>
    </row>
    <row r="635" spans="12:12">
      <c r="L635">
        <v>6587.7947000000004</v>
      </c>
    </row>
    <row r="636" spans="12:12">
      <c r="L636">
        <v>5958.8278</v>
      </c>
    </row>
    <row r="637" spans="12:12">
      <c r="L637">
        <v>8200.2077000000008</v>
      </c>
    </row>
    <row r="638" spans="12:12">
      <c r="L638">
        <v>7458.3024999999998</v>
      </c>
    </row>
    <row r="639" spans="12:12">
      <c r="L639">
        <v>8050.2966999999999</v>
      </c>
    </row>
    <row r="640" spans="12:12">
      <c r="L640">
        <v>6038.8278</v>
      </c>
    </row>
    <row r="641" spans="12:12">
      <c r="L641">
        <v>6973.6905999999999</v>
      </c>
    </row>
    <row r="642" spans="12:12">
      <c r="L642">
        <v>6587.7947000000004</v>
      </c>
    </row>
    <row r="643" spans="12:12">
      <c r="L643">
        <v>6693.6905999999999</v>
      </c>
    </row>
    <row r="644" spans="12:12">
      <c r="L644">
        <v>6996.4845999999998</v>
      </c>
    </row>
    <row r="645" spans="12:12">
      <c r="L645">
        <v>7331.6679999999997</v>
      </c>
    </row>
    <row r="646" spans="12:12">
      <c r="L646">
        <v>8724.8960999999999</v>
      </c>
    </row>
    <row r="647" spans="12:12">
      <c r="L647">
        <v>8200.2077000000008</v>
      </c>
    </row>
    <row r="648" spans="12:12">
      <c r="L648">
        <v>7920.2076999999999</v>
      </c>
    </row>
    <row r="649" spans="12:12">
      <c r="L649">
        <v>6227.7947000000004</v>
      </c>
    </row>
    <row r="650" spans="12:12">
      <c r="L650">
        <v>6378.5481</v>
      </c>
    </row>
    <row r="651" spans="12:12">
      <c r="L651">
        <v>6511.4114</v>
      </c>
    </row>
    <row r="652" spans="12:12">
      <c r="L652">
        <v>8724.8960999999999</v>
      </c>
    </row>
    <row r="653" spans="12:12">
      <c r="L653">
        <v>6398.6145999999999</v>
      </c>
    </row>
    <row r="654" spans="12:12">
      <c r="L654">
        <v>6121.9634999999998</v>
      </c>
    </row>
    <row r="655" spans="12:12">
      <c r="L655">
        <v>6288.5074000000004</v>
      </c>
    </row>
    <row r="656" spans="12:12">
      <c r="L656">
        <v>6693.6905999999999</v>
      </c>
    </row>
    <row r="657" spans="12:12">
      <c r="L657">
        <v>7331.6679999999997</v>
      </c>
    </row>
    <row r="658" spans="12:12">
      <c r="L658">
        <v>7920.2076999999999</v>
      </c>
    </row>
    <row r="659" spans="12:12">
      <c r="L659">
        <v>6973.6905999999999</v>
      </c>
    </row>
    <row r="660" spans="12:12">
      <c r="L660">
        <v>8050.2966999999999</v>
      </c>
    </row>
    <row r="661" spans="12:12">
      <c r="L661">
        <v>7690.2966999999999</v>
      </c>
    </row>
    <row r="662" spans="12:12">
      <c r="L662">
        <v>6398.6145999999999</v>
      </c>
    </row>
    <row r="663" spans="12:12">
      <c r="L663">
        <v>5881.9800999999998</v>
      </c>
    </row>
    <row r="664" spans="12:12">
      <c r="L664">
        <v>6121.9634999999998</v>
      </c>
    </row>
    <row r="665" spans="12:12">
      <c r="L665">
        <v>6118.7803999999996</v>
      </c>
    </row>
    <row r="666" spans="12:12">
      <c r="L666">
        <v>8050.2966999999999</v>
      </c>
    </row>
    <row r="667" spans="12:12">
      <c r="L667">
        <v>6587.7947000000004</v>
      </c>
    </row>
    <row r="668" spans="12:12">
      <c r="L668">
        <v>6208.5074000000004</v>
      </c>
    </row>
    <row r="669" spans="12:12">
      <c r="L669">
        <v>6398.6145999999999</v>
      </c>
    </row>
    <row r="670" spans="12:12">
      <c r="L670">
        <v>6288.5074000000004</v>
      </c>
    </row>
    <row r="671" spans="12:12">
      <c r="L671">
        <v>7119.4817999999996</v>
      </c>
    </row>
    <row r="672" spans="12:12">
      <c r="L672">
        <v>8200.2077000000008</v>
      </c>
    </row>
    <row r="673" spans="12:12">
      <c r="L673">
        <v>6398.6145999999999</v>
      </c>
    </row>
    <row r="674" spans="12:12">
      <c r="L674">
        <v>7690.2966999999999</v>
      </c>
    </row>
    <row r="675" spans="12:12">
      <c r="L675">
        <v>7246.3296</v>
      </c>
    </row>
    <row r="676" spans="12:12">
      <c r="L676">
        <v>8724.8960999999999</v>
      </c>
    </row>
    <row r="677" spans="12:12">
      <c r="L677">
        <v>6996.4845999999998</v>
      </c>
    </row>
    <row r="678" spans="12:12">
      <c r="L678">
        <v>7246.3296</v>
      </c>
    </row>
    <row r="679" spans="12:12">
      <c r="L679">
        <v>6587.7947000000004</v>
      </c>
    </row>
    <row r="680" spans="12:12">
      <c r="L680">
        <v>6288.5074000000004</v>
      </c>
    </row>
    <row r="681" spans="12:12">
      <c r="L681">
        <v>6693.6905999999999</v>
      </c>
    </row>
    <row r="682" spans="12:12">
      <c r="L682">
        <v>6121.9634999999998</v>
      </c>
    </row>
    <row r="683" spans="12:12">
      <c r="L683">
        <v>7690.2966999999999</v>
      </c>
    </row>
    <row r="684" spans="12:12">
      <c r="L684">
        <v>8050.2966999999999</v>
      </c>
    </row>
    <row r="685" spans="12:12">
      <c r="L685">
        <v>7331.6679999999997</v>
      </c>
    </row>
    <row r="686" spans="12:12">
      <c r="L686">
        <v>6973.6905999999999</v>
      </c>
    </row>
    <row r="687" spans="12:12">
      <c r="L687">
        <v>8724.8960999999999</v>
      </c>
    </row>
    <row r="688" spans="12:12">
      <c r="L688">
        <v>6378.5481</v>
      </c>
    </row>
    <row r="689" spans="12:12">
      <c r="L689">
        <v>6398.6145999999999</v>
      </c>
    </row>
    <row r="690" spans="12:12">
      <c r="L690">
        <v>5958.8278</v>
      </c>
    </row>
    <row r="691" spans="12:12">
      <c r="L691">
        <v>5958.8278</v>
      </c>
    </row>
    <row r="692" spans="12:12">
      <c r="L692">
        <v>6288.5074000000004</v>
      </c>
    </row>
    <row r="693" spans="12:12">
      <c r="L693">
        <v>5958.8278</v>
      </c>
    </row>
    <row r="694" spans="12:12">
      <c r="L694">
        <v>6973.6905999999999</v>
      </c>
    </row>
    <row r="695" spans="12:12">
      <c r="L695">
        <v>6378.5481</v>
      </c>
    </row>
    <row r="696" spans="12:12">
      <c r="L696">
        <v>6587.7947000000004</v>
      </c>
    </row>
    <row r="697" spans="12:12">
      <c r="L697">
        <v>7458.3024999999998</v>
      </c>
    </row>
    <row r="698" spans="12:12">
      <c r="L698">
        <v>7690.2966999999999</v>
      </c>
    </row>
    <row r="699" spans="12:12">
      <c r="L699">
        <v>6227.7947000000004</v>
      </c>
    </row>
    <row r="700" spans="12:12">
      <c r="L700">
        <v>7246.3296</v>
      </c>
    </row>
    <row r="701" spans="12:12">
      <c r="L701">
        <v>7458.3024999999998</v>
      </c>
    </row>
    <row r="702" spans="12:12">
      <c r="L702">
        <v>6587.7947000000004</v>
      </c>
    </row>
    <row r="703" spans="12:12">
      <c r="L703">
        <v>7920.2076999999999</v>
      </c>
    </row>
    <row r="704" spans="12:12">
      <c r="L704">
        <v>6511.4114</v>
      </c>
    </row>
    <row r="705" spans="12:12">
      <c r="L705">
        <v>6511.4114</v>
      </c>
    </row>
    <row r="706" spans="12:12">
      <c r="L706">
        <v>6398.6145999999999</v>
      </c>
    </row>
    <row r="707" spans="12:12">
      <c r="L707">
        <v>8200.2077000000008</v>
      </c>
    </row>
    <row r="708" spans="12:12">
      <c r="L708">
        <v>6587.7947000000004</v>
      </c>
    </row>
    <row r="709" spans="12:12">
      <c r="L709">
        <v>6227.7947000000004</v>
      </c>
    </row>
    <row r="710" spans="12:12">
      <c r="L710">
        <v>6378.5481</v>
      </c>
    </row>
    <row r="711" spans="12:12">
      <c r="L711">
        <v>5958.8278</v>
      </c>
    </row>
    <row r="712" spans="12:12">
      <c r="L712">
        <v>6288.5074000000004</v>
      </c>
    </row>
    <row r="713" spans="12:12">
      <c r="L713">
        <v>6587.7947000000004</v>
      </c>
    </row>
    <row r="714" spans="12:12">
      <c r="L714">
        <v>6587.7947000000004</v>
      </c>
    </row>
    <row r="715" spans="12:12">
      <c r="L715">
        <v>7458.3024999999998</v>
      </c>
    </row>
    <row r="716" spans="12:12">
      <c r="L716">
        <v>6398.6145999999999</v>
      </c>
    </row>
    <row r="717" spans="12:12">
      <c r="L717">
        <v>6511.4114</v>
      </c>
    </row>
    <row r="718" spans="12:12">
      <c r="L718">
        <v>8050.2966999999999</v>
      </c>
    </row>
    <row r="719" spans="12:12">
      <c r="L719">
        <v>7326.3296</v>
      </c>
    </row>
    <row r="720" spans="12:12">
      <c r="L720">
        <v>8050.2966999999999</v>
      </c>
    </row>
    <row r="721" spans="12:12">
      <c r="L721">
        <v>6118.7803999999996</v>
      </c>
    </row>
    <row r="722" spans="12:12">
      <c r="L722">
        <v>5958.8278</v>
      </c>
    </row>
    <row r="723" spans="12:12">
      <c r="L723">
        <v>5881.9800999999998</v>
      </c>
    </row>
    <row r="724" spans="12:12">
      <c r="L724">
        <v>6118.7803999999996</v>
      </c>
    </row>
    <row r="725" spans="12:12">
      <c r="L725">
        <v>7331.6679999999997</v>
      </c>
    </row>
    <row r="726" spans="12:12">
      <c r="L726">
        <v>6398.6145999999999</v>
      </c>
    </row>
    <row r="727" spans="12:12">
      <c r="L727">
        <v>6678.6145999999999</v>
      </c>
    </row>
    <row r="728" spans="12:12">
      <c r="L728">
        <v>6227.7947000000004</v>
      </c>
    </row>
    <row r="729" spans="12:12">
      <c r="L729">
        <v>7458.3024999999998</v>
      </c>
    </row>
    <row r="730" spans="12:12">
      <c r="L730">
        <v>7920.2076999999999</v>
      </c>
    </row>
    <row r="731" spans="12:12">
      <c r="L731">
        <v>7119.4817999999996</v>
      </c>
    </row>
    <row r="732" spans="12:12">
      <c r="L732">
        <v>6208.5074000000004</v>
      </c>
    </row>
    <row r="733" spans="12:12">
      <c r="L733">
        <v>6587.7947000000004</v>
      </c>
    </row>
    <row r="734" spans="12:12">
      <c r="L734">
        <v>6511.4114</v>
      </c>
    </row>
    <row r="735" spans="12:12">
      <c r="L735">
        <v>6587.7947000000004</v>
      </c>
    </row>
    <row r="736" spans="12:12">
      <c r="L736">
        <v>6587.7947000000004</v>
      </c>
    </row>
    <row r="737" spans="12:12">
      <c r="L737">
        <v>6118.7803999999996</v>
      </c>
    </row>
    <row r="738" spans="12:12">
      <c r="L738">
        <v>6511.4114</v>
      </c>
    </row>
    <row r="739" spans="12:12">
      <c r="L739">
        <v>5881.9800999999998</v>
      </c>
    </row>
    <row r="740" spans="12:12">
      <c r="L740">
        <v>6693.6905999999999</v>
      </c>
    </row>
    <row r="741" spans="12:12">
      <c r="L741">
        <v>6227.7947000000004</v>
      </c>
    </row>
    <row r="742" spans="12:12">
      <c r="L742">
        <v>6678.6145999999999</v>
      </c>
    </row>
    <row r="743" spans="12:12">
      <c r="L743">
        <v>6511.4114</v>
      </c>
    </row>
    <row r="744" spans="12:12">
      <c r="L744">
        <v>7458.3024999999998</v>
      </c>
    </row>
    <row r="745" spans="12:12">
      <c r="L745">
        <v>5881.9800999999998</v>
      </c>
    </row>
    <row r="746" spans="12:12">
      <c r="L746">
        <v>6121.9634999999998</v>
      </c>
    </row>
    <row r="747" spans="12:12">
      <c r="L747">
        <v>7326.3296</v>
      </c>
    </row>
    <row r="748" spans="12:12">
      <c r="L748">
        <v>7458.3024999999998</v>
      </c>
    </row>
    <row r="749" spans="12:12">
      <c r="L749">
        <v>6208.5074000000004</v>
      </c>
    </row>
    <row r="750" spans="12:12">
      <c r="L750">
        <v>6038.8278</v>
      </c>
    </row>
    <row r="751" spans="12:12">
      <c r="L751">
        <v>7690.2966999999999</v>
      </c>
    </row>
    <row r="752" spans="12:12">
      <c r="L752">
        <v>6693.6905999999999</v>
      </c>
    </row>
    <row r="753" spans="12:12">
      <c r="L753">
        <v>5958.8278</v>
      </c>
    </row>
    <row r="754" spans="12:12">
      <c r="L754">
        <v>7920.2076999999999</v>
      </c>
    </row>
    <row r="755" spans="12:12">
      <c r="L755">
        <v>6693.6905999999999</v>
      </c>
    </row>
    <row r="756" spans="12:12">
      <c r="L756">
        <v>5881.9800999999998</v>
      </c>
    </row>
    <row r="757" spans="12:12">
      <c r="L757">
        <v>7331.6679999999997</v>
      </c>
    </row>
    <row r="758" spans="12:12">
      <c r="L758">
        <v>8200.2077000000008</v>
      </c>
    </row>
    <row r="759" spans="12:12">
      <c r="L759">
        <v>6871.4114</v>
      </c>
    </row>
    <row r="760" spans="12:12">
      <c r="L760">
        <v>6587.7947000000004</v>
      </c>
    </row>
    <row r="761" spans="12:12">
      <c r="L761">
        <v>6121.9634999999998</v>
      </c>
    </row>
    <row r="762" spans="12:12">
      <c r="L762">
        <v>6587.7947000000004</v>
      </c>
    </row>
    <row r="763" spans="12:12">
      <c r="L763">
        <v>7690.2966999999999</v>
      </c>
    </row>
    <row r="764" spans="12:12">
      <c r="L764">
        <v>7326.3296</v>
      </c>
    </row>
    <row r="765" spans="12:12">
      <c r="L765">
        <v>7246.3296</v>
      </c>
    </row>
    <row r="766" spans="12:12">
      <c r="L766">
        <v>5881.9800999999998</v>
      </c>
    </row>
    <row r="767" spans="12:12">
      <c r="L767">
        <v>8050.2966999999999</v>
      </c>
    </row>
    <row r="768" spans="12:12">
      <c r="L768">
        <v>7458.3024999999998</v>
      </c>
    </row>
    <row r="769" spans="12:12">
      <c r="L769">
        <v>6996.4845999999998</v>
      </c>
    </row>
    <row r="770" spans="12:12">
      <c r="L770">
        <v>7246.3296</v>
      </c>
    </row>
    <row r="771" spans="12:12">
      <c r="L771">
        <v>5958.8278</v>
      </c>
    </row>
    <row r="772" spans="12:12">
      <c r="L772">
        <v>7690.2966999999999</v>
      </c>
    </row>
    <row r="773" spans="12:12">
      <c r="L773">
        <v>6996.4845999999998</v>
      </c>
    </row>
    <row r="774" spans="12:12">
      <c r="L774">
        <v>5881.9800999999998</v>
      </c>
    </row>
    <row r="775" spans="12:12">
      <c r="L775">
        <v>6208.5074000000004</v>
      </c>
    </row>
    <row r="776" spans="12:12">
      <c r="L776">
        <v>6378.5481</v>
      </c>
    </row>
    <row r="777" spans="12:12">
      <c r="L777">
        <v>6587.7947000000004</v>
      </c>
    </row>
    <row r="778" spans="12:12">
      <c r="L778">
        <v>7690.2966999999999</v>
      </c>
    </row>
    <row r="779" spans="12:12">
      <c r="L779">
        <v>7246.3296</v>
      </c>
    </row>
    <row r="780" spans="12:12">
      <c r="L780">
        <v>6038.8278</v>
      </c>
    </row>
    <row r="781" spans="12:12">
      <c r="L781">
        <v>8050.2966999999999</v>
      </c>
    </row>
    <row r="782" spans="12:12">
      <c r="L782">
        <v>6398.6145999999999</v>
      </c>
    </row>
    <row r="783" spans="12:12">
      <c r="L783">
        <v>6227.7947000000004</v>
      </c>
    </row>
    <row r="784" spans="12:12">
      <c r="L784">
        <v>7920.2076999999999</v>
      </c>
    </row>
    <row r="785" spans="12:12">
      <c r="L785">
        <v>6973.6905999999999</v>
      </c>
    </row>
    <row r="786" spans="12:12">
      <c r="L786">
        <v>6587.7947000000004</v>
      </c>
    </row>
    <row r="787" spans="12:12">
      <c r="L787">
        <v>7458.3024999999998</v>
      </c>
    </row>
    <row r="788" spans="12:12">
      <c r="L788">
        <v>6288.5074000000004</v>
      </c>
    </row>
    <row r="789" spans="12:12">
      <c r="L789">
        <v>7458.3024999999998</v>
      </c>
    </row>
    <row r="790" spans="12:12">
      <c r="L790">
        <v>6973.6905999999999</v>
      </c>
    </row>
    <row r="791" spans="12:12">
      <c r="L791">
        <v>5881.9800999999998</v>
      </c>
    </row>
    <row r="792" spans="12:12">
      <c r="L792">
        <v>8050.2966999999999</v>
      </c>
    </row>
    <row r="793" spans="12:12">
      <c r="L793">
        <v>6511.4114</v>
      </c>
    </row>
    <row r="794" spans="12:12">
      <c r="L794">
        <v>6038.8278</v>
      </c>
    </row>
    <row r="795" spans="12:12">
      <c r="L795">
        <v>8724.8960999999999</v>
      </c>
    </row>
    <row r="796" spans="12:12">
      <c r="L796">
        <v>6038.8278</v>
      </c>
    </row>
    <row r="797" spans="12:12">
      <c r="L797">
        <v>7326.3296</v>
      </c>
    </row>
    <row r="798" spans="12:12">
      <c r="L798">
        <v>6227.7947000000004</v>
      </c>
    </row>
    <row r="799" spans="12:12">
      <c r="L799">
        <v>6871.4114</v>
      </c>
    </row>
    <row r="800" spans="12:12">
      <c r="L800">
        <v>5881.9800999999998</v>
      </c>
    </row>
    <row r="801" spans="12:12">
      <c r="L801">
        <v>7458.3024999999998</v>
      </c>
    </row>
    <row r="802" spans="12:12">
      <c r="L802">
        <v>6996.4845999999998</v>
      </c>
    </row>
    <row r="803" spans="12:12">
      <c r="L803">
        <v>8724.8960999999999</v>
      </c>
    </row>
    <row r="804" spans="12:12">
      <c r="L804">
        <v>6996.4845999999998</v>
      </c>
    </row>
    <row r="805" spans="12:12">
      <c r="L805">
        <v>7119.4817999999996</v>
      </c>
    </row>
    <row r="806" spans="12:12">
      <c r="L806">
        <v>6118.7803999999996</v>
      </c>
    </row>
    <row r="807" spans="12:12">
      <c r="L807">
        <v>5958.8278</v>
      </c>
    </row>
    <row r="808" spans="12:12">
      <c r="L808">
        <v>6121.9634999999998</v>
      </c>
    </row>
    <row r="809" spans="12:12">
      <c r="L809">
        <v>7331.6679999999997</v>
      </c>
    </row>
    <row r="810" spans="12:12">
      <c r="L810">
        <v>6996.4845999999998</v>
      </c>
    </row>
    <row r="811" spans="12:12">
      <c r="L811">
        <v>6038.8278</v>
      </c>
    </row>
    <row r="812" spans="12:12">
      <c r="L812">
        <v>6288.5074000000004</v>
      </c>
    </row>
    <row r="813" spans="12:12">
      <c r="L813">
        <v>6996.4845999999998</v>
      </c>
    </row>
    <row r="814" spans="12:12">
      <c r="L814">
        <v>7920.2076999999999</v>
      </c>
    </row>
    <row r="815" spans="12:12">
      <c r="L815">
        <v>7326.3296</v>
      </c>
    </row>
    <row r="816" spans="12:12">
      <c r="L816">
        <v>7690.2966999999999</v>
      </c>
    </row>
    <row r="817" spans="12:12">
      <c r="L817">
        <v>7690.2966999999999</v>
      </c>
    </row>
    <row r="818" spans="12:12">
      <c r="L818">
        <v>6121.9634999999998</v>
      </c>
    </row>
    <row r="819" spans="12:12">
      <c r="L819">
        <v>6871.4114</v>
      </c>
    </row>
    <row r="820" spans="12:12">
      <c r="L820">
        <v>6121.9634999999998</v>
      </c>
    </row>
    <row r="821" spans="12:12">
      <c r="L821">
        <v>7326.3296</v>
      </c>
    </row>
    <row r="822" spans="12:12">
      <c r="L822">
        <v>5958.8278</v>
      </c>
    </row>
    <row r="823" spans="12:12">
      <c r="L823">
        <v>5881.9800999999998</v>
      </c>
    </row>
    <row r="824" spans="12:12">
      <c r="L824">
        <v>8200.2077000000008</v>
      </c>
    </row>
    <row r="825" spans="12:12">
      <c r="L825">
        <v>6208.5074000000004</v>
      </c>
    </row>
    <row r="826" spans="12:12">
      <c r="L826">
        <v>7920.2076999999999</v>
      </c>
    </row>
    <row r="827" spans="12:12">
      <c r="L827">
        <v>8724.8960999999999</v>
      </c>
    </row>
    <row r="828" spans="12:12">
      <c r="L828">
        <v>6208.5074000000004</v>
      </c>
    </row>
    <row r="829" spans="12:12">
      <c r="L829">
        <v>8724.8960999999999</v>
      </c>
    </row>
    <row r="830" spans="12:12">
      <c r="L830">
        <v>7326.3296</v>
      </c>
    </row>
    <row r="831" spans="12:12">
      <c r="L831">
        <v>8724.8960999999999</v>
      </c>
    </row>
    <row r="832" spans="12:12">
      <c r="L832">
        <v>8724.8960999999999</v>
      </c>
    </row>
    <row r="833" spans="12:12">
      <c r="L833">
        <v>6678.6145999999999</v>
      </c>
    </row>
    <row r="834" spans="12:12">
      <c r="L834">
        <v>6227.7947000000004</v>
      </c>
    </row>
    <row r="835" spans="12:12">
      <c r="L835">
        <v>7690.2966999999999</v>
      </c>
    </row>
    <row r="836" spans="12:12">
      <c r="L836">
        <v>7690.2966999999999</v>
      </c>
    </row>
    <row r="837" spans="12:12">
      <c r="L837">
        <v>7326.3296</v>
      </c>
    </row>
    <row r="838" spans="12:12">
      <c r="L838">
        <v>6227.7947000000004</v>
      </c>
    </row>
    <row r="839" spans="12:12">
      <c r="L839">
        <v>6587.7947000000004</v>
      </c>
    </row>
    <row r="840" spans="12:12">
      <c r="L840">
        <v>7920.2076999999999</v>
      </c>
    </row>
    <row r="841" spans="12:12">
      <c r="L841">
        <v>5881.9800999999998</v>
      </c>
    </row>
    <row r="842" spans="12:12">
      <c r="L842">
        <v>7246.3296</v>
      </c>
    </row>
    <row r="843" spans="12:12">
      <c r="L843">
        <v>7326.3296</v>
      </c>
    </row>
    <row r="844" spans="12:12">
      <c r="L844">
        <v>6678.6145999999999</v>
      </c>
    </row>
    <row r="845" spans="12:12">
      <c r="L845">
        <v>7331.6679999999997</v>
      </c>
    </row>
    <row r="846" spans="12:12">
      <c r="L846">
        <v>6038.8278</v>
      </c>
    </row>
    <row r="847" spans="12:12">
      <c r="L847">
        <v>6693.6905999999999</v>
      </c>
    </row>
    <row r="848" spans="12:12">
      <c r="L848">
        <v>7246.3296</v>
      </c>
    </row>
    <row r="849" spans="12:12">
      <c r="L849">
        <v>8050.2966999999999</v>
      </c>
    </row>
    <row r="850" spans="12:12">
      <c r="L850">
        <v>7326.3296</v>
      </c>
    </row>
    <row r="851" spans="12:12">
      <c r="L851">
        <v>8050.2966999999999</v>
      </c>
    </row>
    <row r="852" spans="12:12">
      <c r="L852">
        <v>6871.4114</v>
      </c>
    </row>
    <row r="853" spans="12:12">
      <c r="L853">
        <v>5881.9800999999998</v>
      </c>
    </row>
    <row r="854" spans="12:12">
      <c r="L854">
        <v>6678.6145999999999</v>
      </c>
    </row>
    <row r="855" spans="12:12">
      <c r="L855">
        <v>6587.7947000000004</v>
      </c>
    </row>
    <row r="856" spans="12:12">
      <c r="L856">
        <v>7920.2076999999999</v>
      </c>
    </row>
    <row r="857" spans="12:12">
      <c r="L857">
        <v>8050.2966999999999</v>
      </c>
    </row>
    <row r="858" spans="12:12">
      <c r="L858">
        <v>6227.7947000000004</v>
      </c>
    </row>
    <row r="859" spans="12:12">
      <c r="L859">
        <v>6227.7947000000004</v>
      </c>
    </row>
    <row r="860" spans="12:12">
      <c r="L860">
        <v>6038.8278</v>
      </c>
    </row>
    <row r="861" spans="12:12">
      <c r="L861">
        <v>7331.6679999999997</v>
      </c>
    </row>
    <row r="862" spans="12:12">
      <c r="L862">
        <v>6587.7947000000004</v>
      </c>
    </row>
    <row r="863" spans="12:12">
      <c r="L863">
        <v>8050.2966999999999</v>
      </c>
    </row>
    <row r="864" spans="12:12">
      <c r="L864">
        <v>6973.6905999999999</v>
      </c>
    </row>
    <row r="865" spans="12:12">
      <c r="L865">
        <v>6996.4845999999998</v>
      </c>
    </row>
    <row r="866" spans="12:12">
      <c r="L866">
        <v>6121.9634999999998</v>
      </c>
    </row>
    <row r="867" spans="12:12">
      <c r="L867">
        <v>8200.2077000000008</v>
      </c>
    </row>
    <row r="868" spans="12:12">
      <c r="L868">
        <v>5881.9800999999998</v>
      </c>
    </row>
    <row r="869" spans="12:12">
      <c r="L869">
        <v>6121.9634999999998</v>
      </c>
    </row>
    <row r="870" spans="12:12">
      <c r="L870">
        <v>6587.7947000000004</v>
      </c>
    </row>
    <row r="871" spans="12:12">
      <c r="L871">
        <v>8724.8960999999999</v>
      </c>
    </row>
    <row r="872" spans="12:12">
      <c r="L872">
        <v>6398.6145999999999</v>
      </c>
    </row>
    <row r="873" spans="12:12">
      <c r="L873">
        <v>7331.6679999999997</v>
      </c>
    </row>
    <row r="874" spans="12:12">
      <c r="L874">
        <v>6038.8278</v>
      </c>
    </row>
    <row r="875" spans="12:12">
      <c r="L875">
        <v>8200.2077000000008</v>
      </c>
    </row>
    <row r="876" spans="12:12">
      <c r="L876">
        <v>6678.6145999999999</v>
      </c>
    </row>
    <row r="877" spans="12:12">
      <c r="L877">
        <v>6511.4114</v>
      </c>
    </row>
    <row r="878" spans="12:12">
      <c r="L878">
        <v>6678.6145999999999</v>
      </c>
    </row>
    <row r="879" spans="12:12">
      <c r="L879">
        <v>6996.4845999999998</v>
      </c>
    </row>
    <row r="880" spans="12:12">
      <c r="L880">
        <v>6587.7947000000004</v>
      </c>
    </row>
    <row r="881" spans="12:12">
      <c r="L881">
        <v>7246.3296</v>
      </c>
    </row>
    <row r="882" spans="12:12">
      <c r="L882">
        <v>7119.4817999999996</v>
      </c>
    </row>
    <row r="883" spans="12:12">
      <c r="L883">
        <v>6288.5074000000004</v>
      </c>
    </row>
    <row r="884" spans="12:12">
      <c r="L884">
        <v>7920.2076999999999</v>
      </c>
    </row>
    <row r="885" spans="12:12">
      <c r="L885">
        <v>7690.2966999999999</v>
      </c>
    </row>
    <row r="886" spans="12:12">
      <c r="L886">
        <v>6871.4114</v>
      </c>
    </row>
    <row r="887" spans="12:12">
      <c r="L887">
        <v>7920.2076999999999</v>
      </c>
    </row>
    <row r="888" spans="12:12">
      <c r="L888">
        <v>6208.5074000000004</v>
      </c>
    </row>
    <row r="889" spans="12:12">
      <c r="L889">
        <v>8200.2077000000008</v>
      </c>
    </row>
    <row r="890" spans="12:12">
      <c r="L890">
        <v>6678.6145999999999</v>
      </c>
    </row>
    <row r="891" spans="12:12">
      <c r="L891">
        <v>6693.6905999999999</v>
      </c>
    </row>
    <row r="892" spans="12:12">
      <c r="L892">
        <v>6227.7947000000004</v>
      </c>
    </row>
    <row r="893" spans="12:12">
      <c r="L893">
        <v>6398.6145999999999</v>
      </c>
    </row>
    <row r="894" spans="12:12">
      <c r="L894">
        <v>5881.9800999999998</v>
      </c>
    </row>
    <row r="895" spans="12:12">
      <c r="L895">
        <v>7119.4817999999996</v>
      </c>
    </row>
    <row r="896" spans="12:12">
      <c r="L896">
        <v>6693.6905999999999</v>
      </c>
    </row>
    <row r="897" spans="12:12">
      <c r="L897">
        <v>6121.9634999999998</v>
      </c>
    </row>
    <row r="898" spans="12:12">
      <c r="L898">
        <v>8200.2077000000008</v>
      </c>
    </row>
    <row r="899" spans="12:12">
      <c r="L899">
        <v>7331.6679999999997</v>
      </c>
    </row>
    <row r="900" spans="12:12">
      <c r="L900">
        <v>6288.5074000000004</v>
      </c>
    </row>
    <row r="901" spans="12:12">
      <c r="L901">
        <v>6511.4114</v>
      </c>
    </row>
    <row r="902" spans="12:12">
      <c r="L902">
        <v>8200.2077000000008</v>
      </c>
    </row>
    <row r="903" spans="12:12">
      <c r="L903">
        <v>6511.4114</v>
      </c>
    </row>
    <row r="904" spans="12:12">
      <c r="L904">
        <v>6378.5481</v>
      </c>
    </row>
    <row r="905" spans="12:12">
      <c r="L905">
        <v>6118.7803999999996</v>
      </c>
    </row>
    <row r="906" spans="12:12">
      <c r="L906">
        <v>5958.8278</v>
      </c>
    </row>
    <row r="907" spans="12:12">
      <c r="L907">
        <v>7458.3024999999998</v>
      </c>
    </row>
    <row r="908" spans="12:12">
      <c r="L908">
        <v>6587.7947000000004</v>
      </c>
    </row>
    <row r="909" spans="12:12">
      <c r="L909">
        <v>6288.5074000000004</v>
      </c>
    </row>
    <row r="910" spans="12:12">
      <c r="L910">
        <v>6587.7947000000004</v>
      </c>
    </row>
    <row r="911" spans="12:12">
      <c r="L911">
        <v>6996.4845999999998</v>
      </c>
    </row>
    <row r="912" spans="12:12">
      <c r="L912">
        <v>6511.4114</v>
      </c>
    </row>
    <row r="913" spans="12:12">
      <c r="L913">
        <v>6378.5481</v>
      </c>
    </row>
    <row r="914" spans="12:12">
      <c r="L914">
        <v>6208.5074000000004</v>
      </c>
    </row>
    <row r="915" spans="12:12">
      <c r="L915">
        <v>6678.6145999999999</v>
      </c>
    </row>
    <row r="916" spans="12:12">
      <c r="L916">
        <v>6121.9634999999998</v>
      </c>
    </row>
    <row r="917" spans="12:12">
      <c r="L917">
        <v>6871.4114</v>
      </c>
    </row>
    <row r="918" spans="12:12">
      <c r="L918">
        <v>6973.6905999999999</v>
      </c>
    </row>
    <row r="919" spans="12:12">
      <c r="L919">
        <v>5881.9800999999998</v>
      </c>
    </row>
    <row r="920" spans="12:12">
      <c r="L920">
        <v>8724.8960999999999</v>
      </c>
    </row>
    <row r="921" spans="12:12">
      <c r="L921">
        <v>6398.6145999999999</v>
      </c>
    </row>
    <row r="922" spans="12:12">
      <c r="L922">
        <v>6227.7947000000004</v>
      </c>
    </row>
    <row r="923" spans="12:12">
      <c r="L923">
        <v>6511.4114</v>
      </c>
    </row>
    <row r="924" spans="12:12">
      <c r="L924">
        <v>8724.8960999999999</v>
      </c>
    </row>
    <row r="925" spans="12:12">
      <c r="L925">
        <v>6871.4114</v>
      </c>
    </row>
    <row r="926" spans="12:12">
      <c r="L926">
        <v>5958.8278</v>
      </c>
    </row>
    <row r="927" spans="12:12">
      <c r="L927">
        <v>6511.4114</v>
      </c>
    </row>
    <row r="928" spans="12:12">
      <c r="L928">
        <v>8050.2966999999999</v>
      </c>
    </row>
    <row r="929" spans="12:12">
      <c r="L929">
        <v>7920.2076999999999</v>
      </c>
    </row>
    <row r="930" spans="12:12">
      <c r="L930">
        <v>6288.5074000000004</v>
      </c>
    </row>
    <row r="931" spans="12:12">
      <c r="L931">
        <v>6973.6905999999999</v>
      </c>
    </row>
    <row r="932" spans="12:12">
      <c r="L932">
        <v>7690.2966999999999</v>
      </c>
    </row>
    <row r="933" spans="12:12">
      <c r="L933">
        <v>6511.4114</v>
      </c>
    </row>
    <row r="934" spans="12:12">
      <c r="L934">
        <v>6398.6145999999999</v>
      </c>
    </row>
    <row r="935" spans="12:12">
      <c r="L935">
        <v>6587.7947000000004</v>
      </c>
    </row>
    <row r="936" spans="12:12">
      <c r="L936">
        <v>6118.7803999999996</v>
      </c>
    </row>
    <row r="937" spans="12:12">
      <c r="L937">
        <v>7331.6679999999997</v>
      </c>
    </row>
    <row r="938" spans="12:12">
      <c r="L938">
        <v>6511.4114</v>
      </c>
    </row>
    <row r="939" spans="12:12">
      <c r="L939">
        <v>6693.6905999999999</v>
      </c>
    </row>
    <row r="940" spans="12:12">
      <c r="L940">
        <v>6678.6145999999999</v>
      </c>
    </row>
    <row r="941" spans="12:12">
      <c r="L941">
        <v>7458.3024999999998</v>
      </c>
    </row>
    <row r="942" spans="12:12">
      <c r="L942">
        <v>7920.2076999999999</v>
      </c>
    </row>
    <row r="943" spans="12:12">
      <c r="L943">
        <v>8050.2966999999999</v>
      </c>
    </row>
    <row r="944" spans="12:12">
      <c r="L944">
        <v>6208.5074000000004</v>
      </c>
    </row>
    <row r="945" spans="12:12">
      <c r="L945">
        <v>7119.4817999999996</v>
      </c>
    </row>
    <row r="946" spans="12:12">
      <c r="L946">
        <v>7326.3296</v>
      </c>
    </row>
    <row r="947" spans="12:12">
      <c r="L947">
        <v>6227.7947000000004</v>
      </c>
    </row>
    <row r="948" spans="12:12">
      <c r="L948">
        <v>6996.4845999999998</v>
      </c>
    </row>
    <row r="949" spans="12:12">
      <c r="L949">
        <v>7246.3296</v>
      </c>
    </row>
    <row r="950" spans="12:12">
      <c r="L950">
        <v>6378.5481</v>
      </c>
    </row>
    <row r="951" spans="12:12">
      <c r="L951">
        <v>6871.4114</v>
      </c>
    </row>
    <row r="952" spans="12:12">
      <c r="L952">
        <v>5958.8278</v>
      </c>
    </row>
    <row r="953" spans="12:12">
      <c r="L953">
        <v>6118.7803999999996</v>
      </c>
    </row>
    <row r="954" spans="12:12">
      <c r="L954">
        <v>6678.6145999999999</v>
      </c>
    </row>
    <row r="955" spans="12:12">
      <c r="L955">
        <v>7246.3296</v>
      </c>
    </row>
    <row r="956" spans="12:12">
      <c r="L956">
        <v>6121.9634999999998</v>
      </c>
    </row>
    <row r="957" spans="12:12">
      <c r="L957">
        <v>7246.3296</v>
      </c>
    </row>
    <row r="958" spans="12:12">
      <c r="L958">
        <v>8724.8960999999999</v>
      </c>
    </row>
    <row r="959" spans="12:12">
      <c r="L959">
        <v>6208.5074000000004</v>
      </c>
    </row>
    <row r="960" spans="12:12">
      <c r="L960">
        <v>8200.2077000000008</v>
      </c>
    </row>
    <row r="961" spans="12:12">
      <c r="L961">
        <v>6398.6145999999999</v>
      </c>
    </row>
    <row r="962" spans="12:12">
      <c r="L962">
        <v>6208.5074000000004</v>
      </c>
    </row>
    <row r="963" spans="12:12">
      <c r="L963">
        <v>7119.4817999999996</v>
      </c>
    </row>
    <row r="964" spans="12:12">
      <c r="L964">
        <v>5958.8278</v>
      </c>
    </row>
    <row r="965" spans="12:12">
      <c r="L965">
        <v>6208.5074000000004</v>
      </c>
    </row>
    <row r="966" spans="12:12">
      <c r="L966">
        <v>5958.8278</v>
      </c>
    </row>
    <row r="967" spans="12:12">
      <c r="L967">
        <v>6038.8278</v>
      </c>
    </row>
    <row r="968" spans="12:12">
      <c r="L968">
        <v>8050.2966999999999</v>
      </c>
    </row>
    <row r="969" spans="12:12">
      <c r="L969">
        <v>7246.3296</v>
      </c>
    </row>
    <row r="970" spans="12:12">
      <c r="L970">
        <v>6398.6145999999999</v>
      </c>
    </row>
    <row r="971" spans="12:12">
      <c r="L971">
        <v>7119.4817999999996</v>
      </c>
    </row>
    <row r="972" spans="12:12">
      <c r="L972">
        <v>6378.5481</v>
      </c>
    </row>
    <row r="973" spans="12:12">
      <c r="L973">
        <v>6121.9634999999998</v>
      </c>
    </row>
    <row r="974" spans="12:12">
      <c r="L974">
        <v>6693.6905999999999</v>
      </c>
    </row>
    <row r="975" spans="12:12">
      <c r="L975">
        <v>7458.3024999999998</v>
      </c>
    </row>
    <row r="976" spans="12:12">
      <c r="L976">
        <v>6288.5074000000004</v>
      </c>
    </row>
    <row r="977" spans="12:12">
      <c r="L977">
        <v>7690.2966999999999</v>
      </c>
    </row>
    <row r="978" spans="12:12">
      <c r="L978">
        <v>6871.4114</v>
      </c>
    </row>
    <row r="979" spans="12:12">
      <c r="L979">
        <v>6227.7947000000004</v>
      </c>
    </row>
    <row r="980" spans="12:12">
      <c r="L980">
        <v>6378.5481</v>
      </c>
    </row>
    <row r="981" spans="12:12">
      <c r="L981">
        <v>7326.3296</v>
      </c>
    </row>
    <row r="982" spans="12:12">
      <c r="L982">
        <v>7246.3296</v>
      </c>
    </row>
    <row r="983" spans="12:12">
      <c r="L983">
        <v>7119.4817999999996</v>
      </c>
    </row>
    <row r="984" spans="12:12">
      <c r="L984">
        <v>6227.7947000000004</v>
      </c>
    </row>
    <row r="985" spans="12:12">
      <c r="L985">
        <v>6996.4845999999998</v>
      </c>
    </row>
    <row r="986" spans="12:12">
      <c r="L986">
        <v>6693.6905999999999</v>
      </c>
    </row>
    <row r="987" spans="12:12">
      <c r="L987">
        <v>7246.3296</v>
      </c>
    </row>
    <row r="988" spans="12:12">
      <c r="L988">
        <v>7458.3024999999998</v>
      </c>
    </row>
    <row r="989" spans="12:12">
      <c r="L989">
        <v>6118.7803999999996</v>
      </c>
    </row>
    <row r="990" spans="12:12">
      <c r="L990">
        <v>6208.5074000000004</v>
      </c>
    </row>
    <row r="991" spans="12:12">
      <c r="L991">
        <v>6288.5074000000004</v>
      </c>
    </row>
    <row r="992" spans="12:12">
      <c r="L992">
        <v>6208.5074000000004</v>
      </c>
    </row>
    <row r="993" spans="12:12">
      <c r="L993">
        <v>6288.5074000000004</v>
      </c>
    </row>
    <row r="994" spans="12:12">
      <c r="L994">
        <v>6511.4114</v>
      </c>
    </row>
    <row r="995" spans="12:12">
      <c r="L995">
        <v>7920.2076999999999</v>
      </c>
    </row>
    <row r="996" spans="12:12">
      <c r="L996">
        <v>6227.7947000000004</v>
      </c>
    </row>
    <row r="997" spans="12:12">
      <c r="L997">
        <v>7920.2076999999999</v>
      </c>
    </row>
    <row r="998" spans="12:12">
      <c r="L998">
        <v>7246.3296</v>
      </c>
    </row>
    <row r="999" spans="12:12">
      <c r="L999">
        <v>6208.5074000000004</v>
      </c>
    </row>
    <row r="1000" spans="12:12">
      <c r="L1000">
        <v>6693.6905999999999</v>
      </c>
    </row>
    <row r="1001" spans="12:12">
      <c r="L1001">
        <v>6378.5481</v>
      </c>
    </row>
    <row r="1002" spans="12:12">
      <c r="L1002">
        <v>5958.8278</v>
      </c>
    </row>
    <row r="1003" spans="12:12">
      <c r="L1003">
        <v>7331.6679999999997</v>
      </c>
    </row>
    <row r="1004" spans="12:12">
      <c r="L1004">
        <v>5958.8278</v>
      </c>
    </row>
    <row r="1005" spans="12:12">
      <c r="L1005">
        <v>7458.3024999999998</v>
      </c>
    </row>
    <row r="1006" spans="12:12">
      <c r="L1006">
        <v>6587.7947000000004</v>
      </c>
    </row>
    <row r="1007" spans="12:12">
      <c r="L1007">
        <v>5881.9800999999998</v>
      </c>
    </row>
    <row r="1008" spans="12:12">
      <c r="L1008">
        <v>7119.4817999999996</v>
      </c>
    </row>
    <row r="1009" spans="12:12">
      <c r="L1009">
        <v>6678.6145999999999</v>
      </c>
    </row>
    <row r="1010" spans="12:12">
      <c r="L1010">
        <v>5958.8278</v>
      </c>
    </row>
    <row r="1011" spans="12:12">
      <c r="L1011">
        <v>7246.3296</v>
      </c>
    </row>
    <row r="1012" spans="12:12">
      <c r="L1012">
        <v>6587.7947000000004</v>
      </c>
    </row>
    <row r="1013" spans="12:12">
      <c r="L1013">
        <v>5881.9800999999998</v>
      </c>
    </row>
    <row r="1014" spans="12:12">
      <c r="L1014">
        <v>7119.4817999999996</v>
      </c>
    </row>
    <row r="1015" spans="12:12">
      <c r="L1015">
        <v>7246.3296</v>
      </c>
    </row>
    <row r="1016" spans="12:12">
      <c r="L1016">
        <v>7119.4817999999996</v>
      </c>
    </row>
    <row r="1017" spans="12:12">
      <c r="L1017">
        <v>5958.8278</v>
      </c>
    </row>
    <row r="1018" spans="12:12">
      <c r="L1018">
        <v>6678.6145999999999</v>
      </c>
    </row>
    <row r="1019" spans="12:12">
      <c r="L1019">
        <v>8724.8960999999999</v>
      </c>
    </row>
    <row r="1020" spans="12:12">
      <c r="L1020">
        <v>6678.6145999999999</v>
      </c>
    </row>
    <row r="1021" spans="12:12">
      <c r="L1021">
        <v>6038.8278</v>
      </c>
    </row>
    <row r="1022" spans="12:12">
      <c r="L1022">
        <v>8050.2966999999999</v>
      </c>
    </row>
    <row r="1023" spans="12:12">
      <c r="L1023">
        <v>5881.9800999999998</v>
      </c>
    </row>
    <row r="1024" spans="12:12">
      <c r="L1024">
        <v>8050.2966999999999</v>
      </c>
    </row>
    <row r="1025" spans="12:12">
      <c r="L1025">
        <v>6587.7947000000004</v>
      </c>
    </row>
    <row r="1026" spans="12:12">
      <c r="L1026">
        <v>6678.6145999999999</v>
      </c>
    </row>
    <row r="1027" spans="12:12">
      <c r="L1027">
        <v>6587.7947000000004</v>
      </c>
    </row>
    <row r="1028" spans="12:12">
      <c r="L1028">
        <v>6871.4114</v>
      </c>
    </row>
    <row r="1029" spans="12:12">
      <c r="L1029">
        <v>6038.8278</v>
      </c>
    </row>
    <row r="1030" spans="12:12">
      <c r="L1030">
        <v>5881.9800999999998</v>
      </c>
    </row>
    <row r="1031" spans="12:12">
      <c r="L1031">
        <v>8200.2077000000008</v>
      </c>
    </row>
    <row r="1032" spans="12:12">
      <c r="L1032">
        <v>6511.4114</v>
      </c>
    </row>
    <row r="1033" spans="12:12">
      <c r="L1033">
        <v>6587.7947000000004</v>
      </c>
    </row>
    <row r="1034" spans="12:12">
      <c r="L1034">
        <v>6227.7947000000004</v>
      </c>
    </row>
    <row r="1035" spans="12:12">
      <c r="L1035">
        <v>7920.2076999999999</v>
      </c>
    </row>
    <row r="1036" spans="12:12">
      <c r="L1036">
        <v>5958.8278</v>
      </c>
    </row>
    <row r="1037" spans="12:12">
      <c r="L1037">
        <v>6511.4114</v>
      </c>
    </row>
    <row r="1038" spans="12:12">
      <c r="L1038">
        <v>5881.9800999999998</v>
      </c>
    </row>
    <row r="1039" spans="12:12">
      <c r="L1039">
        <v>6871.4114</v>
      </c>
    </row>
    <row r="1040" spans="12:12">
      <c r="L1040">
        <v>6378.5481</v>
      </c>
    </row>
    <row r="1041" spans="12:12">
      <c r="L1041">
        <v>6038.8278</v>
      </c>
    </row>
    <row r="1042" spans="12:12">
      <c r="L1042">
        <v>6693.6905999999999</v>
      </c>
    </row>
    <row r="1043" spans="12:12">
      <c r="L1043">
        <v>6227.7947000000004</v>
      </c>
    </row>
    <row r="1044" spans="12:12">
      <c r="L1044">
        <v>6227.7947000000004</v>
      </c>
    </row>
    <row r="1045" spans="12:12">
      <c r="L1045">
        <v>6511.4114</v>
      </c>
    </row>
    <row r="1046" spans="12:12">
      <c r="L1046">
        <v>6511.4114</v>
      </c>
    </row>
    <row r="1047" spans="12:12">
      <c r="L1047">
        <v>6871.4114</v>
      </c>
    </row>
    <row r="1048" spans="12:12">
      <c r="L1048">
        <v>7246.3296</v>
      </c>
    </row>
    <row r="1049" spans="12:12">
      <c r="L1049">
        <v>6996.4845999999998</v>
      </c>
    </row>
    <row r="1050" spans="12:12">
      <c r="L1050">
        <v>6038.8278</v>
      </c>
    </row>
    <row r="1051" spans="12:12">
      <c r="L1051">
        <v>6511.4114</v>
      </c>
    </row>
    <row r="1052" spans="12:12">
      <c r="L1052">
        <v>6288.5074000000004</v>
      </c>
    </row>
    <row r="1053" spans="12:12">
      <c r="L1053">
        <v>5881.9800999999998</v>
      </c>
    </row>
    <row r="1054" spans="12:12">
      <c r="L1054">
        <v>8050.2966999999999</v>
      </c>
    </row>
    <row r="1055" spans="12:12">
      <c r="L1055">
        <v>8724.8960999999999</v>
      </c>
    </row>
    <row r="1056" spans="12:12">
      <c r="L1056">
        <v>6038.8278</v>
      </c>
    </row>
    <row r="1057" spans="12:12">
      <c r="L1057">
        <v>5958.8278</v>
      </c>
    </row>
    <row r="1058" spans="12:12">
      <c r="L1058">
        <v>6511.4114</v>
      </c>
    </row>
    <row r="1059" spans="12:12">
      <c r="L1059">
        <v>6871.4114</v>
      </c>
    </row>
    <row r="1060" spans="12:12">
      <c r="L1060">
        <v>8724.8960999999999</v>
      </c>
    </row>
    <row r="1061" spans="12:12">
      <c r="L1061">
        <v>6871.4114</v>
      </c>
    </row>
    <row r="1062" spans="12:12">
      <c r="L1062">
        <v>7331.6679999999997</v>
      </c>
    </row>
    <row r="1063" spans="12:12">
      <c r="L1063">
        <v>6996.4845999999998</v>
      </c>
    </row>
    <row r="1064" spans="12:12">
      <c r="L1064">
        <v>6587.7947000000004</v>
      </c>
    </row>
    <row r="1065" spans="12:12">
      <c r="L1065">
        <v>8724.8960999999999</v>
      </c>
    </row>
    <row r="1066" spans="12:12">
      <c r="L1066">
        <v>6118.7803999999996</v>
      </c>
    </row>
    <row r="1067" spans="12:12">
      <c r="L1067">
        <v>5881.9800999999998</v>
      </c>
    </row>
    <row r="1068" spans="12:12">
      <c r="L1068">
        <v>6038.8278</v>
      </c>
    </row>
    <row r="1069" spans="12:12">
      <c r="L1069">
        <v>6121.9634999999998</v>
      </c>
    </row>
    <row r="1070" spans="12:12">
      <c r="L1070">
        <v>7690.2966999999999</v>
      </c>
    </row>
    <row r="1071" spans="12:12">
      <c r="L1071">
        <v>6288.5074000000004</v>
      </c>
    </row>
    <row r="1072" spans="12:12">
      <c r="L1072">
        <v>6288.5074000000004</v>
      </c>
    </row>
    <row r="1073" spans="12:12">
      <c r="L1073">
        <v>6378.5481</v>
      </c>
    </row>
    <row r="1074" spans="12:12">
      <c r="L1074">
        <v>7326.3296</v>
      </c>
    </row>
    <row r="1075" spans="12:12">
      <c r="L1075">
        <v>7458.3024999999998</v>
      </c>
    </row>
    <row r="1076" spans="12:12">
      <c r="L1076">
        <v>6038.8278</v>
      </c>
    </row>
    <row r="1077" spans="12:12">
      <c r="L1077">
        <v>7458.3024999999998</v>
      </c>
    </row>
    <row r="1078" spans="12:12">
      <c r="L1078">
        <v>8724.8960999999999</v>
      </c>
    </row>
    <row r="1079" spans="12:12">
      <c r="L1079">
        <v>7246.3296</v>
      </c>
    </row>
    <row r="1080" spans="12:12">
      <c r="L1080">
        <v>7458.3024999999998</v>
      </c>
    </row>
  </sheetData>
  <mergeCells count="32">
    <mergeCell ref="A85:D85"/>
    <mergeCell ref="B87:D87"/>
    <mergeCell ref="A92:D92"/>
    <mergeCell ref="B77:D77"/>
    <mergeCell ref="A75:D75"/>
    <mergeCell ref="A82:D82"/>
    <mergeCell ref="B5:E5"/>
    <mergeCell ref="B6:E6"/>
    <mergeCell ref="H5:K5"/>
    <mergeCell ref="H6:K6"/>
    <mergeCell ref="B15:E15"/>
    <mergeCell ref="B16:E16"/>
    <mergeCell ref="H15:K15"/>
    <mergeCell ref="H16:K16"/>
    <mergeCell ref="B50:E50"/>
    <mergeCell ref="H50:K50"/>
    <mergeCell ref="A46:K46"/>
    <mergeCell ref="H39:K39"/>
    <mergeCell ref="B39:E39"/>
    <mergeCell ref="B29:E29"/>
    <mergeCell ref="H29:K29"/>
    <mergeCell ref="D22:D24"/>
    <mergeCell ref="B28:E28"/>
    <mergeCell ref="H28:K28"/>
    <mergeCell ref="B38:E38"/>
    <mergeCell ref="H38:K38"/>
    <mergeCell ref="B51:E51"/>
    <mergeCell ref="H51:K51"/>
    <mergeCell ref="B60:E60"/>
    <mergeCell ref="H60:K60"/>
    <mergeCell ref="B61:E61"/>
    <mergeCell ref="H61:K6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R123"/>
  <sheetViews>
    <sheetView workbookViewId="0">
      <selection activeCell="N10" sqref="N10"/>
    </sheetView>
  </sheetViews>
  <sheetFormatPr defaultRowHeight="12.75"/>
  <cols>
    <col min="1" max="1" width="9.7109375" style="6" customWidth="1"/>
    <col min="2" max="2" width="15.7109375" style="45" customWidth="1"/>
    <col min="3" max="3" width="17.5703125" style="45" customWidth="1"/>
    <col min="4" max="4" width="19.5703125" style="55" customWidth="1"/>
    <col min="5" max="5" width="22.28515625" style="52" customWidth="1"/>
    <col min="6" max="6" width="12.7109375" style="48" customWidth="1"/>
    <col min="7" max="7" width="12.28515625" style="48" customWidth="1"/>
    <col min="8" max="9" width="8.7109375" style="6"/>
    <col min="10" max="10" width="13" style="6" customWidth="1"/>
    <col min="11" max="240" width="8.7109375" style="6"/>
    <col min="241" max="241" width="9.7109375" style="6" customWidth="1"/>
    <col min="242" max="242" width="10.28515625" style="6" customWidth="1"/>
    <col min="243" max="243" width="8.7109375" style="6"/>
    <col min="244" max="244" width="10.7109375" style="6" customWidth="1"/>
    <col min="245" max="245" width="14" style="6" customWidth="1"/>
    <col min="246" max="496" width="8.7109375" style="6"/>
    <col min="497" max="497" width="9.7109375" style="6" customWidth="1"/>
    <col min="498" max="498" width="10.28515625" style="6" customWidth="1"/>
    <col min="499" max="499" width="8.7109375" style="6"/>
    <col min="500" max="500" width="10.7109375" style="6" customWidth="1"/>
    <col min="501" max="501" width="14" style="6" customWidth="1"/>
    <col min="502" max="752" width="8.7109375" style="6"/>
    <col min="753" max="753" width="9.7109375" style="6" customWidth="1"/>
    <col min="754" max="754" width="10.28515625" style="6" customWidth="1"/>
    <col min="755" max="755" width="8.7109375" style="6"/>
    <col min="756" max="756" width="10.7109375" style="6" customWidth="1"/>
    <col min="757" max="757" width="14" style="6" customWidth="1"/>
    <col min="758" max="1008" width="8.7109375" style="6"/>
    <col min="1009" max="1009" width="9.7109375" style="6" customWidth="1"/>
    <col min="1010" max="1010" width="10.28515625" style="6" customWidth="1"/>
    <col min="1011" max="1011" width="8.7109375" style="6"/>
    <col min="1012" max="1012" width="10.7109375" style="6" customWidth="1"/>
    <col min="1013" max="1013" width="14" style="6" customWidth="1"/>
    <col min="1014" max="1264" width="8.7109375" style="6"/>
    <col min="1265" max="1265" width="9.7109375" style="6" customWidth="1"/>
    <col min="1266" max="1266" width="10.28515625" style="6" customWidth="1"/>
    <col min="1267" max="1267" width="8.7109375" style="6"/>
    <col min="1268" max="1268" width="10.7109375" style="6" customWidth="1"/>
    <col min="1269" max="1269" width="14" style="6" customWidth="1"/>
    <col min="1270" max="1520" width="8.7109375" style="6"/>
    <col min="1521" max="1521" width="9.7109375" style="6" customWidth="1"/>
    <col min="1522" max="1522" width="10.28515625" style="6" customWidth="1"/>
    <col min="1523" max="1523" width="8.7109375" style="6"/>
    <col min="1524" max="1524" width="10.7109375" style="6" customWidth="1"/>
    <col min="1525" max="1525" width="14" style="6" customWidth="1"/>
    <col min="1526" max="1776" width="8.7109375" style="6"/>
    <col min="1777" max="1777" width="9.7109375" style="6" customWidth="1"/>
    <col min="1778" max="1778" width="10.28515625" style="6" customWidth="1"/>
    <col min="1779" max="1779" width="8.7109375" style="6"/>
    <col min="1780" max="1780" width="10.7109375" style="6" customWidth="1"/>
    <col min="1781" max="1781" width="14" style="6" customWidth="1"/>
    <col min="1782" max="2032" width="8.7109375" style="6"/>
    <col min="2033" max="2033" width="9.7109375" style="6" customWidth="1"/>
    <col min="2034" max="2034" width="10.28515625" style="6" customWidth="1"/>
    <col min="2035" max="2035" width="8.7109375" style="6"/>
    <col min="2036" max="2036" width="10.7109375" style="6" customWidth="1"/>
    <col min="2037" max="2037" width="14" style="6" customWidth="1"/>
    <col min="2038" max="2288" width="8.7109375" style="6"/>
    <col min="2289" max="2289" width="9.7109375" style="6" customWidth="1"/>
    <col min="2290" max="2290" width="10.28515625" style="6" customWidth="1"/>
    <col min="2291" max="2291" width="8.7109375" style="6"/>
    <col min="2292" max="2292" width="10.7109375" style="6" customWidth="1"/>
    <col min="2293" max="2293" width="14" style="6" customWidth="1"/>
    <col min="2294" max="2544" width="8.7109375" style="6"/>
    <col min="2545" max="2545" width="9.7109375" style="6" customWidth="1"/>
    <col min="2546" max="2546" width="10.28515625" style="6" customWidth="1"/>
    <col min="2547" max="2547" width="8.7109375" style="6"/>
    <col min="2548" max="2548" width="10.7109375" style="6" customWidth="1"/>
    <col min="2549" max="2549" width="14" style="6" customWidth="1"/>
    <col min="2550" max="2800" width="8.7109375" style="6"/>
    <col min="2801" max="2801" width="9.7109375" style="6" customWidth="1"/>
    <col min="2802" max="2802" width="10.28515625" style="6" customWidth="1"/>
    <col min="2803" max="2803" width="8.7109375" style="6"/>
    <col min="2804" max="2804" width="10.7109375" style="6" customWidth="1"/>
    <col min="2805" max="2805" width="14" style="6" customWidth="1"/>
    <col min="2806" max="3056" width="8.7109375" style="6"/>
    <col min="3057" max="3057" width="9.7109375" style="6" customWidth="1"/>
    <col min="3058" max="3058" width="10.28515625" style="6" customWidth="1"/>
    <col min="3059" max="3059" width="8.7109375" style="6"/>
    <col min="3060" max="3060" width="10.7109375" style="6" customWidth="1"/>
    <col min="3061" max="3061" width="14" style="6" customWidth="1"/>
    <col min="3062" max="3312" width="8.7109375" style="6"/>
    <col min="3313" max="3313" width="9.7109375" style="6" customWidth="1"/>
    <col min="3314" max="3314" width="10.28515625" style="6" customWidth="1"/>
    <col min="3315" max="3315" width="8.7109375" style="6"/>
    <col min="3316" max="3316" width="10.7109375" style="6" customWidth="1"/>
    <col min="3317" max="3317" width="14" style="6" customWidth="1"/>
    <col min="3318" max="3568" width="8.7109375" style="6"/>
    <col min="3569" max="3569" width="9.7109375" style="6" customWidth="1"/>
    <col min="3570" max="3570" width="10.28515625" style="6" customWidth="1"/>
    <col min="3571" max="3571" width="8.7109375" style="6"/>
    <col min="3572" max="3572" width="10.7109375" style="6" customWidth="1"/>
    <col min="3573" max="3573" width="14" style="6" customWidth="1"/>
    <col min="3574" max="3824" width="8.7109375" style="6"/>
    <col min="3825" max="3825" width="9.7109375" style="6" customWidth="1"/>
    <col min="3826" max="3826" width="10.28515625" style="6" customWidth="1"/>
    <col min="3827" max="3827" width="8.7109375" style="6"/>
    <col min="3828" max="3828" width="10.7109375" style="6" customWidth="1"/>
    <col min="3829" max="3829" width="14" style="6" customWidth="1"/>
    <col min="3830" max="4080" width="8.7109375" style="6"/>
    <col min="4081" max="4081" width="9.7109375" style="6" customWidth="1"/>
    <col min="4082" max="4082" width="10.28515625" style="6" customWidth="1"/>
    <col min="4083" max="4083" width="8.7109375" style="6"/>
    <col min="4084" max="4084" width="10.7109375" style="6" customWidth="1"/>
    <col min="4085" max="4085" width="14" style="6" customWidth="1"/>
    <col min="4086" max="4336" width="8.7109375" style="6"/>
    <col min="4337" max="4337" width="9.7109375" style="6" customWidth="1"/>
    <col min="4338" max="4338" width="10.28515625" style="6" customWidth="1"/>
    <col min="4339" max="4339" width="8.7109375" style="6"/>
    <col min="4340" max="4340" width="10.7109375" style="6" customWidth="1"/>
    <col min="4341" max="4341" width="14" style="6" customWidth="1"/>
    <col min="4342" max="4592" width="8.7109375" style="6"/>
    <col min="4593" max="4593" width="9.7109375" style="6" customWidth="1"/>
    <col min="4594" max="4594" width="10.28515625" style="6" customWidth="1"/>
    <col min="4595" max="4595" width="8.7109375" style="6"/>
    <col min="4596" max="4596" width="10.7109375" style="6" customWidth="1"/>
    <col min="4597" max="4597" width="14" style="6" customWidth="1"/>
    <col min="4598" max="4848" width="8.7109375" style="6"/>
    <col min="4849" max="4849" width="9.7109375" style="6" customWidth="1"/>
    <col min="4850" max="4850" width="10.28515625" style="6" customWidth="1"/>
    <col min="4851" max="4851" width="8.7109375" style="6"/>
    <col min="4852" max="4852" width="10.7109375" style="6" customWidth="1"/>
    <col min="4853" max="4853" width="14" style="6" customWidth="1"/>
    <col min="4854" max="5104" width="8.7109375" style="6"/>
    <col min="5105" max="5105" width="9.7109375" style="6" customWidth="1"/>
    <col min="5106" max="5106" width="10.28515625" style="6" customWidth="1"/>
    <col min="5107" max="5107" width="8.7109375" style="6"/>
    <col min="5108" max="5108" width="10.7109375" style="6" customWidth="1"/>
    <col min="5109" max="5109" width="14" style="6" customWidth="1"/>
    <col min="5110" max="5360" width="8.7109375" style="6"/>
    <col min="5361" max="5361" width="9.7109375" style="6" customWidth="1"/>
    <col min="5362" max="5362" width="10.28515625" style="6" customWidth="1"/>
    <col min="5363" max="5363" width="8.7109375" style="6"/>
    <col min="5364" max="5364" width="10.7109375" style="6" customWidth="1"/>
    <col min="5365" max="5365" width="14" style="6" customWidth="1"/>
    <col min="5366" max="5616" width="8.7109375" style="6"/>
    <col min="5617" max="5617" width="9.7109375" style="6" customWidth="1"/>
    <col min="5618" max="5618" width="10.28515625" style="6" customWidth="1"/>
    <col min="5619" max="5619" width="8.7109375" style="6"/>
    <col min="5620" max="5620" width="10.7109375" style="6" customWidth="1"/>
    <col min="5621" max="5621" width="14" style="6" customWidth="1"/>
    <col min="5622" max="5872" width="8.7109375" style="6"/>
    <col min="5873" max="5873" width="9.7109375" style="6" customWidth="1"/>
    <col min="5874" max="5874" width="10.28515625" style="6" customWidth="1"/>
    <col min="5875" max="5875" width="8.7109375" style="6"/>
    <col min="5876" max="5876" width="10.7109375" style="6" customWidth="1"/>
    <col min="5877" max="5877" width="14" style="6" customWidth="1"/>
    <col min="5878" max="6128" width="8.7109375" style="6"/>
    <col min="6129" max="6129" width="9.7109375" style="6" customWidth="1"/>
    <col min="6130" max="6130" width="10.28515625" style="6" customWidth="1"/>
    <col min="6131" max="6131" width="8.7109375" style="6"/>
    <col min="6132" max="6132" width="10.7109375" style="6" customWidth="1"/>
    <col min="6133" max="6133" width="14" style="6" customWidth="1"/>
    <col min="6134" max="6384" width="8.7109375" style="6"/>
    <col min="6385" max="6385" width="9.7109375" style="6" customWidth="1"/>
    <col min="6386" max="6386" width="10.28515625" style="6" customWidth="1"/>
    <col min="6387" max="6387" width="8.7109375" style="6"/>
    <col min="6388" max="6388" width="10.7109375" style="6" customWidth="1"/>
    <col min="6389" max="6389" width="14" style="6" customWidth="1"/>
    <col min="6390" max="6640" width="8.7109375" style="6"/>
    <col min="6641" max="6641" width="9.7109375" style="6" customWidth="1"/>
    <col min="6642" max="6642" width="10.28515625" style="6" customWidth="1"/>
    <col min="6643" max="6643" width="8.7109375" style="6"/>
    <col min="6644" max="6644" width="10.7109375" style="6" customWidth="1"/>
    <col min="6645" max="6645" width="14" style="6" customWidth="1"/>
    <col min="6646" max="6896" width="8.7109375" style="6"/>
    <col min="6897" max="6897" width="9.7109375" style="6" customWidth="1"/>
    <col min="6898" max="6898" width="10.28515625" style="6" customWidth="1"/>
    <col min="6899" max="6899" width="8.7109375" style="6"/>
    <col min="6900" max="6900" width="10.7109375" style="6" customWidth="1"/>
    <col min="6901" max="6901" width="14" style="6" customWidth="1"/>
    <col min="6902" max="7152" width="8.7109375" style="6"/>
    <col min="7153" max="7153" width="9.7109375" style="6" customWidth="1"/>
    <col min="7154" max="7154" width="10.28515625" style="6" customWidth="1"/>
    <col min="7155" max="7155" width="8.7109375" style="6"/>
    <col min="7156" max="7156" width="10.7109375" style="6" customWidth="1"/>
    <col min="7157" max="7157" width="14" style="6" customWidth="1"/>
    <col min="7158" max="7408" width="8.7109375" style="6"/>
    <col min="7409" max="7409" width="9.7109375" style="6" customWidth="1"/>
    <col min="7410" max="7410" width="10.28515625" style="6" customWidth="1"/>
    <col min="7411" max="7411" width="8.7109375" style="6"/>
    <col min="7412" max="7412" width="10.7109375" style="6" customWidth="1"/>
    <col min="7413" max="7413" width="14" style="6" customWidth="1"/>
    <col min="7414" max="7664" width="8.7109375" style="6"/>
    <col min="7665" max="7665" width="9.7109375" style="6" customWidth="1"/>
    <col min="7666" max="7666" width="10.28515625" style="6" customWidth="1"/>
    <col min="7667" max="7667" width="8.7109375" style="6"/>
    <col min="7668" max="7668" width="10.7109375" style="6" customWidth="1"/>
    <col min="7669" max="7669" width="14" style="6" customWidth="1"/>
    <col min="7670" max="7920" width="8.7109375" style="6"/>
    <col min="7921" max="7921" width="9.7109375" style="6" customWidth="1"/>
    <col min="7922" max="7922" width="10.28515625" style="6" customWidth="1"/>
    <col min="7923" max="7923" width="8.7109375" style="6"/>
    <col min="7924" max="7924" width="10.7109375" style="6" customWidth="1"/>
    <col min="7925" max="7925" width="14" style="6" customWidth="1"/>
    <col min="7926" max="8176" width="8.7109375" style="6"/>
    <col min="8177" max="8177" width="9.7109375" style="6" customWidth="1"/>
    <col min="8178" max="8178" width="10.28515625" style="6" customWidth="1"/>
    <col min="8179" max="8179" width="8.7109375" style="6"/>
    <col min="8180" max="8180" width="10.7109375" style="6" customWidth="1"/>
    <col min="8181" max="8181" width="14" style="6" customWidth="1"/>
    <col min="8182" max="8432" width="8.7109375" style="6"/>
    <col min="8433" max="8433" width="9.7109375" style="6" customWidth="1"/>
    <col min="8434" max="8434" width="10.28515625" style="6" customWidth="1"/>
    <col min="8435" max="8435" width="8.7109375" style="6"/>
    <col min="8436" max="8436" width="10.7109375" style="6" customWidth="1"/>
    <col min="8437" max="8437" width="14" style="6" customWidth="1"/>
    <col min="8438" max="8688" width="8.7109375" style="6"/>
    <col min="8689" max="8689" width="9.7109375" style="6" customWidth="1"/>
    <col min="8690" max="8690" width="10.28515625" style="6" customWidth="1"/>
    <col min="8691" max="8691" width="8.7109375" style="6"/>
    <col min="8692" max="8692" width="10.7109375" style="6" customWidth="1"/>
    <col min="8693" max="8693" width="14" style="6" customWidth="1"/>
    <col min="8694" max="8944" width="8.7109375" style="6"/>
    <col min="8945" max="8945" width="9.7109375" style="6" customWidth="1"/>
    <col min="8946" max="8946" width="10.28515625" style="6" customWidth="1"/>
    <col min="8947" max="8947" width="8.7109375" style="6"/>
    <col min="8948" max="8948" width="10.7109375" style="6" customWidth="1"/>
    <col min="8949" max="8949" width="14" style="6" customWidth="1"/>
    <col min="8950" max="9200" width="8.7109375" style="6"/>
    <col min="9201" max="9201" width="9.7109375" style="6" customWidth="1"/>
    <col min="9202" max="9202" width="10.28515625" style="6" customWidth="1"/>
    <col min="9203" max="9203" width="8.7109375" style="6"/>
    <col min="9204" max="9204" width="10.7109375" style="6" customWidth="1"/>
    <col min="9205" max="9205" width="14" style="6" customWidth="1"/>
    <col min="9206" max="9456" width="8.7109375" style="6"/>
    <col min="9457" max="9457" width="9.7109375" style="6" customWidth="1"/>
    <col min="9458" max="9458" width="10.28515625" style="6" customWidth="1"/>
    <col min="9459" max="9459" width="8.7109375" style="6"/>
    <col min="9460" max="9460" width="10.7109375" style="6" customWidth="1"/>
    <col min="9461" max="9461" width="14" style="6" customWidth="1"/>
    <col min="9462" max="9712" width="8.7109375" style="6"/>
    <col min="9713" max="9713" width="9.7109375" style="6" customWidth="1"/>
    <col min="9714" max="9714" width="10.28515625" style="6" customWidth="1"/>
    <col min="9715" max="9715" width="8.7109375" style="6"/>
    <col min="9716" max="9716" width="10.7109375" style="6" customWidth="1"/>
    <col min="9717" max="9717" width="14" style="6" customWidth="1"/>
    <col min="9718" max="9968" width="8.7109375" style="6"/>
    <col min="9969" max="9969" width="9.7109375" style="6" customWidth="1"/>
    <col min="9970" max="9970" width="10.28515625" style="6" customWidth="1"/>
    <col min="9971" max="9971" width="8.7109375" style="6"/>
    <col min="9972" max="9972" width="10.7109375" style="6" customWidth="1"/>
    <col min="9973" max="9973" width="14" style="6" customWidth="1"/>
    <col min="9974" max="10224" width="8.7109375" style="6"/>
    <col min="10225" max="10225" width="9.7109375" style="6" customWidth="1"/>
    <col min="10226" max="10226" width="10.28515625" style="6" customWidth="1"/>
    <col min="10227" max="10227" width="8.7109375" style="6"/>
    <col min="10228" max="10228" width="10.7109375" style="6" customWidth="1"/>
    <col min="10229" max="10229" width="14" style="6" customWidth="1"/>
    <col min="10230" max="10480" width="8.7109375" style="6"/>
    <col min="10481" max="10481" width="9.7109375" style="6" customWidth="1"/>
    <col min="10482" max="10482" width="10.28515625" style="6" customWidth="1"/>
    <col min="10483" max="10483" width="8.7109375" style="6"/>
    <col min="10484" max="10484" width="10.7109375" style="6" customWidth="1"/>
    <col min="10485" max="10485" width="14" style="6" customWidth="1"/>
    <col min="10486" max="10736" width="8.7109375" style="6"/>
    <col min="10737" max="10737" width="9.7109375" style="6" customWidth="1"/>
    <col min="10738" max="10738" width="10.28515625" style="6" customWidth="1"/>
    <col min="10739" max="10739" width="8.7109375" style="6"/>
    <col min="10740" max="10740" width="10.7109375" style="6" customWidth="1"/>
    <col min="10741" max="10741" width="14" style="6" customWidth="1"/>
    <col min="10742" max="10992" width="8.7109375" style="6"/>
    <col min="10993" max="10993" width="9.7109375" style="6" customWidth="1"/>
    <col min="10994" max="10994" width="10.28515625" style="6" customWidth="1"/>
    <col min="10995" max="10995" width="8.7109375" style="6"/>
    <col min="10996" max="10996" width="10.7109375" style="6" customWidth="1"/>
    <col min="10997" max="10997" width="14" style="6" customWidth="1"/>
    <col min="10998" max="11248" width="8.7109375" style="6"/>
    <col min="11249" max="11249" width="9.7109375" style="6" customWidth="1"/>
    <col min="11250" max="11250" width="10.28515625" style="6" customWidth="1"/>
    <col min="11251" max="11251" width="8.7109375" style="6"/>
    <col min="11252" max="11252" width="10.7109375" style="6" customWidth="1"/>
    <col min="11253" max="11253" width="14" style="6" customWidth="1"/>
    <col min="11254" max="11504" width="8.7109375" style="6"/>
    <col min="11505" max="11505" width="9.7109375" style="6" customWidth="1"/>
    <col min="11506" max="11506" width="10.28515625" style="6" customWidth="1"/>
    <col min="11507" max="11507" width="8.7109375" style="6"/>
    <col min="11508" max="11508" width="10.7109375" style="6" customWidth="1"/>
    <col min="11509" max="11509" width="14" style="6" customWidth="1"/>
    <col min="11510" max="11760" width="8.7109375" style="6"/>
    <col min="11761" max="11761" width="9.7109375" style="6" customWidth="1"/>
    <col min="11762" max="11762" width="10.28515625" style="6" customWidth="1"/>
    <col min="11763" max="11763" width="8.7109375" style="6"/>
    <col min="11764" max="11764" width="10.7109375" style="6" customWidth="1"/>
    <col min="11765" max="11765" width="14" style="6" customWidth="1"/>
    <col min="11766" max="12016" width="8.7109375" style="6"/>
    <col min="12017" max="12017" width="9.7109375" style="6" customWidth="1"/>
    <col min="12018" max="12018" width="10.28515625" style="6" customWidth="1"/>
    <col min="12019" max="12019" width="8.7109375" style="6"/>
    <col min="12020" max="12020" width="10.7109375" style="6" customWidth="1"/>
    <col min="12021" max="12021" width="14" style="6" customWidth="1"/>
    <col min="12022" max="12272" width="8.7109375" style="6"/>
    <col min="12273" max="12273" width="9.7109375" style="6" customWidth="1"/>
    <col min="12274" max="12274" width="10.28515625" style="6" customWidth="1"/>
    <col min="12275" max="12275" width="8.7109375" style="6"/>
    <col min="12276" max="12276" width="10.7109375" style="6" customWidth="1"/>
    <col min="12277" max="12277" width="14" style="6" customWidth="1"/>
    <col min="12278" max="12528" width="8.7109375" style="6"/>
    <col min="12529" max="12529" width="9.7109375" style="6" customWidth="1"/>
    <col min="12530" max="12530" width="10.28515625" style="6" customWidth="1"/>
    <col min="12531" max="12531" width="8.7109375" style="6"/>
    <col min="12532" max="12532" width="10.7109375" style="6" customWidth="1"/>
    <col min="12533" max="12533" width="14" style="6" customWidth="1"/>
    <col min="12534" max="12784" width="8.7109375" style="6"/>
    <col min="12785" max="12785" width="9.7109375" style="6" customWidth="1"/>
    <col min="12786" max="12786" width="10.28515625" style="6" customWidth="1"/>
    <col min="12787" max="12787" width="8.7109375" style="6"/>
    <col min="12788" max="12788" width="10.7109375" style="6" customWidth="1"/>
    <col min="12789" max="12789" width="14" style="6" customWidth="1"/>
    <col min="12790" max="13040" width="8.7109375" style="6"/>
    <col min="13041" max="13041" width="9.7109375" style="6" customWidth="1"/>
    <col min="13042" max="13042" width="10.28515625" style="6" customWidth="1"/>
    <col min="13043" max="13043" width="8.7109375" style="6"/>
    <col min="13044" max="13044" width="10.7109375" style="6" customWidth="1"/>
    <col min="13045" max="13045" width="14" style="6" customWidth="1"/>
    <col min="13046" max="13296" width="8.7109375" style="6"/>
    <col min="13297" max="13297" width="9.7109375" style="6" customWidth="1"/>
    <col min="13298" max="13298" width="10.28515625" style="6" customWidth="1"/>
    <col min="13299" max="13299" width="8.7109375" style="6"/>
    <col min="13300" max="13300" width="10.7109375" style="6" customWidth="1"/>
    <col min="13301" max="13301" width="14" style="6" customWidth="1"/>
    <col min="13302" max="13552" width="8.7109375" style="6"/>
    <col min="13553" max="13553" width="9.7109375" style="6" customWidth="1"/>
    <col min="13554" max="13554" width="10.28515625" style="6" customWidth="1"/>
    <col min="13555" max="13555" width="8.7109375" style="6"/>
    <col min="13556" max="13556" width="10.7109375" style="6" customWidth="1"/>
    <col min="13557" max="13557" width="14" style="6" customWidth="1"/>
    <col min="13558" max="13808" width="8.7109375" style="6"/>
    <col min="13809" max="13809" width="9.7109375" style="6" customWidth="1"/>
    <col min="13810" max="13810" width="10.28515625" style="6" customWidth="1"/>
    <col min="13811" max="13811" width="8.7109375" style="6"/>
    <col min="13812" max="13812" width="10.7109375" style="6" customWidth="1"/>
    <col min="13813" max="13813" width="14" style="6" customWidth="1"/>
    <col min="13814" max="14064" width="8.7109375" style="6"/>
    <col min="14065" max="14065" width="9.7109375" style="6" customWidth="1"/>
    <col min="14066" max="14066" width="10.28515625" style="6" customWidth="1"/>
    <col min="14067" max="14067" width="8.7109375" style="6"/>
    <col min="14068" max="14068" width="10.7109375" style="6" customWidth="1"/>
    <col min="14069" max="14069" width="14" style="6" customWidth="1"/>
    <col min="14070" max="14320" width="8.7109375" style="6"/>
    <col min="14321" max="14321" width="9.7109375" style="6" customWidth="1"/>
    <col min="14322" max="14322" width="10.28515625" style="6" customWidth="1"/>
    <col min="14323" max="14323" width="8.7109375" style="6"/>
    <col min="14324" max="14324" width="10.7109375" style="6" customWidth="1"/>
    <col min="14325" max="14325" width="14" style="6" customWidth="1"/>
    <col min="14326" max="14576" width="8.7109375" style="6"/>
    <col min="14577" max="14577" width="9.7109375" style="6" customWidth="1"/>
    <col min="14578" max="14578" width="10.28515625" style="6" customWidth="1"/>
    <col min="14579" max="14579" width="8.7109375" style="6"/>
    <col min="14580" max="14580" width="10.7109375" style="6" customWidth="1"/>
    <col min="14581" max="14581" width="14" style="6" customWidth="1"/>
    <col min="14582" max="14832" width="8.7109375" style="6"/>
    <col min="14833" max="14833" width="9.7109375" style="6" customWidth="1"/>
    <col min="14834" max="14834" width="10.28515625" style="6" customWidth="1"/>
    <col min="14835" max="14835" width="8.7109375" style="6"/>
    <col min="14836" max="14836" width="10.7109375" style="6" customWidth="1"/>
    <col min="14837" max="14837" width="14" style="6" customWidth="1"/>
    <col min="14838" max="15088" width="8.7109375" style="6"/>
    <col min="15089" max="15089" width="9.7109375" style="6" customWidth="1"/>
    <col min="15090" max="15090" width="10.28515625" style="6" customWidth="1"/>
    <col min="15091" max="15091" width="8.7109375" style="6"/>
    <col min="15092" max="15092" width="10.7109375" style="6" customWidth="1"/>
    <col min="15093" max="15093" width="14" style="6" customWidth="1"/>
    <col min="15094" max="15344" width="8.7109375" style="6"/>
    <col min="15345" max="15345" width="9.7109375" style="6" customWidth="1"/>
    <col min="15346" max="15346" width="10.28515625" style="6" customWidth="1"/>
    <col min="15347" max="15347" width="8.7109375" style="6"/>
    <col min="15348" max="15348" width="10.7109375" style="6" customWidth="1"/>
    <col min="15349" max="15349" width="14" style="6" customWidth="1"/>
    <col min="15350" max="15600" width="8.7109375" style="6"/>
    <col min="15601" max="15601" width="9.7109375" style="6" customWidth="1"/>
    <col min="15602" max="15602" width="10.28515625" style="6" customWidth="1"/>
    <col min="15603" max="15603" width="8.7109375" style="6"/>
    <col min="15604" max="15604" width="10.7109375" style="6" customWidth="1"/>
    <col min="15605" max="15605" width="14" style="6" customWidth="1"/>
    <col min="15606" max="15856" width="8.7109375" style="6"/>
    <col min="15857" max="15857" width="9.7109375" style="6" customWidth="1"/>
    <col min="15858" max="15858" width="10.28515625" style="6" customWidth="1"/>
    <col min="15859" max="15859" width="8.7109375" style="6"/>
    <col min="15860" max="15860" width="10.7109375" style="6" customWidth="1"/>
    <col min="15861" max="15861" width="14" style="6" customWidth="1"/>
    <col min="15862" max="16112" width="8.7109375" style="6"/>
    <col min="16113" max="16113" width="9.7109375" style="6" customWidth="1"/>
    <col min="16114" max="16114" width="10.28515625" style="6" customWidth="1"/>
    <col min="16115" max="16115" width="8.7109375" style="6"/>
    <col min="16116" max="16116" width="10.7109375" style="6" customWidth="1"/>
    <col min="16117" max="16117" width="14" style="6" customWidth="1"/>
    <col min="16118" max="16384" width="8.7109375" style="6"/>
  </cols>
  <sheetData>
    <row r="1" spans="1:18" ht="15">
      <c r="B1" s="44" t="s">
        <v>9</v>
      </c>
      <c r="D1" s="46" t="s">
        <v>46</v>
      </c>
      <c r="E1" s="47">
        <v>0.08</v>
      </c>
      <c r="F1" s="48">
        <f>1/(1+E1)</f>
        <v>0.92592592592592582</v>
      </c>
      <c r="M1" s="122" t="s">
        <v>147</v>
      </c>
      <c r="N1" s="122"/>
      <c r="O1" s="122"/>
      <c r="P1" s="122"/>
      <c r="Q1" s="122"/>
      <c r="R1" s="122"/>
    </row>
    <row r="2" spans="1:18" s="5" customFormat="1">
      <c r="A2" s="5" t="s">
        <v>47</v>
      </c>
      <c r="B2" s="44" t="s">
        <v>48</v>
      </c>
      <c r="C2" s="44" t="s">
        <v>49</v>
      </c>
      <c r="D2" s="49" t="s">
        <v>50</v>
      </c>
      <c r="E2" s="50" t="s">
        <v>51</v>
      </c>
      <c r="F2" s="51" t="s">
        <v>52</v>
      </c>
      <c r="G2" s="51" t="s">
        <v>53</v>
      </c>
      <c r="H2" s="5" t="s">
        <v>54</v>
      </c>
      <c r="J2" s="5" t="s">
        <v>62</v>
      </c>
      <c r="M2" s="5" t="s">
        <v>146</v>
      </c>
    </row>
    <row r="3" spans="1:18">
      <c r="A3" s="6">
        <v>0</v>
      </c>
      <c r="B3" s="73">
        <v>2.3270000000000001E-3</v>
      </c>
      <c r="C3" s="52">
        <v>1</v>
      </c>
      <c r="D3" s="52">
        <f>1</f>
        <v>1</v>
      </c>
      <c r="E3" s="52">
        <f>C3*D3</f>
        <v>1</v>
      </c>
      <c r="F3" s="48">
        <f>SUM(E3:$E$122)</f>
        <v>13.429434081545054</v>
      </c>
      <c r="G3" s="48">
        <f>F3/E3</f>
        <v>13.429434081545054</v>
      </c>
      <c r="H3" s="6">
        <f>$F$68/E3</f>
        <v>6.5503902389229804E-2</v>
      </c>
      <c r="J3" s="73">
        <v>2.3270000000000001E-3</v>
      </c>
    </row>
    <row r="4" spans="1:18">
      <c r="A4" s="6">
        <v>1</v>
      </c>
      <c r="B4" s="73">
        <v>1.4100000000000001E-4</v>
      </c>
      <c r="C4" s="52">
        <f>(1-B3)*C3</f>
        <v>0.99767300000000003</v>
      </c>
      <c r="D4" s="52">
        <f>$F$1^A4</f>
        <v>0.92592592592592582</v>
      </c>
      <c r="E4" s="52">
        <f t="shared" ref="E4:E67" si="0">C4*D4</f>
        <v>0.92377129629629617</v>
      </c>
      <c r="F4" s="48">
        <f>SUM(E4:$E$122)</f>
        <v>12.429434081545054</v>
      </c>
      <c r="G4" s="48">
        <f t="shared" ref="G4:G67" si="1">F4/E4</f>
        <v>13.45509882302985</v>
      </c>
      <c r="H4" s="6">
        <f t="shared" ref="H4:H67" si="2">$F$68/E4</f>
        <v>7.0909220336090276E-2</v>
      </c>
      <c r="J4" s="73">
        <v>1.4100000000000001E-4</v>
      </c>
    </row>
    <row r="5" spans="1:18">
      <c r="A5" s="6">
        <v>2</v>
      </c>
      <c r="B5" s="73">
        <v>9.5000000000000005E-5</v>
      </c>
      <c r="C5" s="52">
        <f t="shared" ref="C5:C68" si="3">(1-B4)*C4</f>
        <v>0.9975323281070001</v>
      </c>
      <c r="D5" s="52">
        <f t="shared" ref="D5:D68" si="4">$F$1^A5</f>
        <v>0.8573388203017831</v>
      </c>
      <c r="E5" s="52">
        <f t="shared" si="0"/>
        <v>0.8552231893921467</v>
      </c>
      <c r="F5" s="48">
        <f>SUM(E5:$E$122)</f>
        <v>11.505662785248758</v>
      </c>
      <c r="G5" s="48">
        <f t="shared" si="1"/>
        <v>13.453403658788128</v>
      </c>
      <c r="H5" s="6">
        <f t="shared" si="2"/>
        <v>7.6592757541790887E-2</v>
      </c>
      <c r="J5" s="73">
        <v>9.5000000000000005E-5</v>
      </c>
    </row>
    <row r="6" spans="1:18">
      <c r="A6" s="6">
        <v>3</v>
      </c>
      <c r="B6" s="73">
        <v>7.6000000000000004E-5</v>
      </c>
      <c r="C6" s="52">
        <f t="shared" si="3"/>
        <v>0.99743756253582994</v>
      </c>
      <c r="D6" s="52">
        <f t="shared" si="4"/>
        <v>0.79383224102016947</v>
      </c>
      <c r="E6" s="52">
        <f t="shared" si="0"/>
        <v>0.79179809554551328</v>
      </c>
      <c r="F6" s="48">
        <f>SUM(E6:$E$122)</f>
        <v>10.650439595856612</v>
      </c>
      <c r="G6" s="48">
        <f t="shared" si="1"/>
        <v>13.45095379210143</v>
      </c>
      <c r="H6" s="6">
        <f t="shared" si="2"/>
        <v>8.2728037308678504E-2</v>
      </c>
      <c r="J6" s="73">
        <v>7.6000000000000004E-5</v>
      </c>
    </row>
    <row r="7" spans="1:18">
      <c r="A7" s="6">
        <v>4</v>
      </c>
      <c r="B7" s="73">
        <v>5.8999999999999998E-5</v>
      </c>
      <c r="C7" s="52">
        <f t="shared" si="3"/>
        <v>0.99736175728107723</v>
      </c>
      <c r="D7" s="52">
        <f t="shared" si="4"/>
        <v>0.73502985279645316</v>
      </c>
      <c r="E7" s="52">
        <f t="shared" si="0"/>
        <v>0.73309066563912206</v>
      </c>
      <c r="F7" s="48">
        <f>SUM(E7:$E$122)</f>
        <v>9.8586415003110996</v>
      </c>
      <c r="G7" s="48">
        <f t="shared" si="1"/>
        <v>13.448052147432749</v>
      </c>
      <c r="H7" s="6">
        <f t="shared" si="2"/>
        <v>8.9353071126778413E-2</v>
      </c>
      <c r="J7" s="73">
        <v>5.8999999999999998E-5</v>
      </c>
    </row>
    <row r="8" spans="1:18">
      <c r="A8" s="6">
        <v>5</v>
      </c>
      <c r="B8" s="73">
        <v>5.1999999999999997E-5</v>
      </c>
      <c r="C8" s="52">
        <f t="shared" si="3"/>
        <v>0.99730291293739759</v>
      </c>
      <c r="D8" s="52">
        <f t="shared" si="4"/>
        <v>0.68058319703375281</v>
      </c>
      <c r="E8" s="52">
        <f t="shared" si="0"/>
        <v>0.67874760489800845</v>
      </c>
      <c r="F8" s="48">
        <f>SUM(E8:$E$122)</f>
        <v>9.1255508346719783</v>
      </c>
      <c r="G8" s="48">
        <f t="shared" si="1"/>
        <v>13.444689555911173</v>
      </c>
      <c r="H8" s="6">
        <f t="shared" si="2"/>
        <v>9.6507010730553816E-2</v>
      </c>
      <c r="J8" s="73">
        <v>5.1999999999999997E-5</v>
      </c>
    </row>
    <row r="9" spans="1:18">
      <c r="A9" s="6">
        <v>6</v>
      </c>
      <c r="B9" s="73">
        <v>4.8000000000000001E-5</v>
      </c>
      <c r="C9" s="52">
        <f t="shared" si="3"/>
        <v>0.99725105318592477</v>
      </c>
      <c r="D9" s="52">
        <f t="shared" si="4"/>
        <v>0.63016962688310441</v>
      </c>
      <c r="E9" s="52">
        <f t="shared" si="0"/>
        <v>0.62843732409495712</v>
      </c>
      <c r="F9" s="48">
        <f>SUM(E9:$E$122)</f>
        <v>8.4468032297739679</v>
      </c>
      <c r="G9" s="48">
        <f t="shared" si="1"/>
        <v>13.440963650493892</v>
      </c>
      <c r="H9" s="6">
        <f t="shared" si="2"/>
        <v>0.10423299170456676</v>
      </c>
      <c r="J9" s="73">
        <v>4.8000000000000001E-5</v>
      </c>
    </row>
    <row r="10" spans="1:18">
      <c r="A10" s="6">
        <v>7</v>
      </c>
      <c r="B10" s="73">
        <v>4.3999999999999999E-5</v>
      </c>
      <c r="C10" s="52">
        <f t="shared" si="3"/>
        <v>0.99720318513537176</v>
      </c>
      <c r="D10" s="52">
        <f t="shared" si="4"/>
        <v>0.58349039526213364</v>
      </c>
      <c r="E10" s="52">
        <f t="shared" si="0"/>
        <v>0.58185848065129675</v>
      </c>
      <c r="F10" s="48">
        <f>SUM(E10:$E$122)</f>
        <v>7.8183659056790065</v>
      </c>
      <c r="G10" s="48">
        <f t="shared" si="1"/>
        <v>13.436885713047623</v>
      </c>
      <c r="H10" s="6">
        <f t="shared" si="2"/>
        <v>0.11257703473859958</v>
      </c>
      <c r="J10" s="73">
        <v>4.3999999999999999E-5</v>
      </c>
    </row>
    <row r="11" spans="1:18">
      <c r="A11" s="6">
        <v>8</v>
      </c>
      <c r="B11" s="73">
        <v>3.8999999999999999E-5</v>
      </c>
      <c r="C11" s="52">
        <f t="shared" si="3"/>
        <v>0.9971593081952258</v>
      </c>
      <c r="D11" s="52">
        <f t="shared" si="4"/>
        <v>0.54026888450197563</v>
      </c>
      <c r="E11" s="52">
        <f t="shared" si="0"/>
        <v>0.53873414710939638</v>
      </c>
      <c r="F11" s="48">
        <f>SUM(E11:$E$122)</f>
        <v>7.2365074250277095</v>
      </c>
      <c r="G11" s="48">
        <f t="shared" si="1"/>
        <v>13.432427596905697</v>
      </c>
      <c r="H11" s="6">
        <f t="shared" si="2"/>
        <v>0.12158854741377376</v>
      </c>
      <c r="J11" s="73">
        <v>3.8999999999999999E-5</v>
      </c>
    </row>
    <row r="12" spans="1:18">
      <c r="A12" s="6">
        <v>9</v>
      </c>
      <c r="B12" s="73">
        <v>3.4999999999999997E-5</v>
      </c>
      <c r="C12" s="52">
        <f t="shared" si="3"/>
        <v>0.99712041898220616</v>
      </c>
      <c r="D12" s="52">
        <f t="shared" si="4"/>
        <v>0.50024896713145883</v>
      </c>
      <c r="E12" s="52">
        <f t="shared" si="0"/>
        <v>0.49880845970153609</v>
      </c>
      <c r="F12" s="48">
        <f>SUM(E12:$E$122)</f>
        <v>6.697773277918313</v>
      </c>
      <c r="G12" s="48">
        <f t="shared" si="1"/>
        <v>13.427545478931835</v>
      </c>
      <c r="H12" s="6">
        <f t="shared" si="2"/>
        <v>0.13132075271623161</v>
      </c>
      <c r="J12" s="73">
        <v>3.4999999999999997E-5</v>
      </c>
    </row>
    <row r="13" spans="1:18">
      <c r="A13" s="6">
        <v>10</v>
      </c>
      <c r="B13" s="73">
        <v>3.1000000000000001E-5</v>
      </c>
      <c r="C13" s="52">
        <f t="shared" si="3"/>
        <v>0.99708551976754178</v>
      </c>
      <c r="D13" s="52">
        <f t="shared" si="4"/>
        <v>0.46319348808468408</v>
      </c>
      <c r="E13" s="52">
        <f t="shared" si="0"/>
        <v>0.46184351981985788</v>
      </c>
      <c r="F13" s="48">
        <f>SUM(E13:$E$122)</f>
        <v>6.198964818216778</v>
      </c>
      <c r="G13" s="48">
        <f t="shared" si="1"/>
        <v>13.422218894907706</v>
      </c>
      <c r="H13" s="6">
        <f t="shared" si="2"/>
        <v>0.14183137703172627</v>
      </c>
      <c r="J13" s="73">
        <v>3.1000000000000001E-5</v>
      </c>
    </row>
    <row r="14" spans="1:18">
      <c r="A14" s="6">
        <v>11</v>
      </c>
      <c r="B14" s="73">
        <v>3.3000000000000003E-5</v>
      </c>
      <c r="C14" s="52">
        <f t="shared" si="3"/>
        <v>0.99705461011642904</v>
      </c>
      <c r="D14" s="52">
        <f t="shared" si="4"/>
        <v>0.4288828593376704</v>
      </c>
      <c r="E14" s="52">
        <f t="shared" si="0"/>
        <v>0.42761963210254023</v>
      </c>
      <c r="F14" s="48">
        <f>SUM(E14:$E$122)</f>
        <v>5.7371212983969198</v>
      </c>
      <c r="G14" s="48">
        <f t="shared" si="1"/>
        <v>13.416412315282097</v>
      </c>
      <c r="H14" s="6">
        <f t="shared" si="2"/>
        <v>0.15318263585597591</v>
      </c>
      <c r="J14" s="73">
        <v>3.3000000000000003E-5</v>
      </c>
    </row>
    <row r="15" spans="1:18">
      <c r="A15" s="6">
        <v>12</v>
      </c>
      <c r="B15" s="73">
        <v>4.3000000000000002E-5</v>
      </c>
      <c r="C15" s="52">
        <f t="shared" si="3"/>
        <v>0.99702170731429529</v>
      </c>
      <c r="D15" s="52">
        <f t="shared" si="4"/>
        <v>0.39711375864599113</v>
      </c>
      <c r="E15" s="52">
        <f t="shared" si="0"/>
        <v>0.39593103764322307</v>
      </c>
      <c r="F15" s="48">
        <f>SUM(E15:$E$122)</f>
        <v>5.3095016662943797</v>
      </c>
      <c r="G15" s="48">
        <f t="shared" si="1"/>
        <v>13.41016783604325</v>
      </c>
      <c r="H15" s="6">
        <f t="shared" si="2"/>
        <v>0.16544270633376296</v>
      </c>
      <c r="J15" s="73">
        <v>4.3000000000000002E-5</v>
      </c>
    </row>
    <row r="16" spans="1:18">
      <c r="A16" s="6">
        <v>13</v>
      </c>
      <c r="B16" s="73">
        <v>5.3000000000000001E-5</v>
      </c>
      <c r="C16" s="52">
        <f t="shared" si="3"/>
        <v>0.99697883538088072</v>
      </c>
      <c r="D16" s="52">
        <f t="shared" si="4"/>
        <v>0.3676979246722139</v>
      </c>
      <c r="E16" s="52">
        <f t="shared" si="0"/>
        <v>0.36658704871167064</v>
      </c>
      <c r="F16" s="48">
        <f>SUM(E16:$E$122)</f>
        <v>4.9135706286511569</v>
      </c>
      <c r="G16" s="48">
        <f t="shared" si="1"/>
        <v>13.4035576159042</v>
      </c>
      <c r="H16" s="6">
        <f t="shared" si="2"/>
        <v>0.17868580633013625</v>
      </c>
      <c r="J16" s="73">
        <v>5.3000000000000001E-5</v>
      </c>
    </row>
    <row r="17" spans="1:10">
      <c r="A17" s="6">
        <v>14</v>
      </c>
      <c r="B17" s="73">
        <v>6.3E-5</v>
      </c>
      <c r="C17" s="52">
        <f t="shared" si="3"/>
        <v>0.99692599550260552</v>
      </c>
      <c r="D17" s="52">
        <f t="shared" si="4"/>
        <v>0.34046104136316102</v>
      </c>
      <c r="E17" s="52">
        <f t="shared" si="0"/>
        <v>0.33941446259082303</v>
      </c>
      <c r="F17" s="48">
        <f>SUM(E17:$E$122)</f>
        <v>4.5469835799394858</v>
      </c>
      <c r="G17" s="48">
        <f t="shared" si="1"/>
        <v>13.396552242445386</v>
      </c>
      <c r="H17" s="6">
        <f t="shared" si="2"/>
        <v>0.19299089935421296</v>
      </c>
      <c r="J17" s="73">
        <v>6.3E-5</v>
      </c>
    </row>
    <row r="18" spans="1:10">
      <c r="A18" s="6">
        <v>15</v>
      </c>
      <c r="B18" s="73">
        <v>7.2999999999999999E-5</v>
      </c>
      <c r="C18" s="52">
        <f t="shared" si="3"/>
        <v>0.99686318916488881</v>
      </c>
      <c r="D18" s="52">
        <f t="shared" si="4"/>
        <v>0.31524170496588977</v>
      </c>
      <c r="E18" s="52">
        <f t="shared" si="0"/>
        <v>0.31425285137007386</v>
      </c>
      <c r="F18" s="48">
        <f>SUM(E18:$E$122)</f>
        <v>4.2075691173486609</v>
      </c>
      <c r="G18" s="48">
        <f t="shared" si="1"/>
        <v>13.389119936397005</v>
      </c>
      <c r="H18" s="6">
        <f t="shared" si="2"/>
        <v>0.20844330323065355</v>
      </c>
      <c r="J18" s="73">
        <v>7.2999999999999999E-5</v>
      </c>
    </row>
    <row r="19" spans="1:10">
      <c r="A19" s="6">
        <v>16</v>
      </c>
      <c r="B19" s="73">
        <v>8.2999999999999998E-5</v>
      </c>
      <c r="C19" s="52">
        <f t="shared" si="3"/>
        <v>0.9967904181520798</v>
      </c>
      <c r="D19" s="52">
        <f t="shared" si="4"/>
        <v>0.29189046756100906</v>
      </c>
      <c r="E19" s="52">
        <f t="shared" si="0"/>
        <v>0.29095362121474433</v>
      </c>
      <c r="F19" s="48">
        <f>SUM(E19:$E$122)</f>
        <v>3.8933162659785836</v>
      </c>
      <c r="G19" s="48">
        <f t="shared" si="1"/>
        <v>13.381226360833093</v>
      </c>
      <c r="H19" s="6">
        <f t="shared" si="2"/>
        <v>0.22513520235887799</v>
      </c>
      <c r="J19" s="73">
        <v>8.2999999999999998E-5</v>
      </c>
    </row>
    <row r="20" spans="1:10">
      <c r="A20" s="6">
        <v>17</v>
      </c>
      <c r="B20" s="73">
        <v>9.2999999999999997E-5</v>
      </c>
      <c r="C20" s="52">
        <f t="shared" si="3"/>
        <v>0.99670768454737313</v>
      </c>
      <c r="D20" s="52">
        <f t="shared" si="4"/>
        <v>0.27026895144537871</v>
      </c>
      <c r="E20" s="52">
        <f t="shared" si="0"/>
        <v>0.26937914080016984</v>
      </c>
      <c r="F20" s="48">
        <f>SUM(E20:$E$122)</f>
        <v>3.6023626447638382</v>
      </c>
      <c r="G20" s="48">
        <f t="shared" si="1"/>
        <v>13.372834414956182</v>
      </c>
      <c r="H20" s="6">
        <f t="shared" si="2"/>
        <v>0.24316620134229971</v>
      </c>
      <c r="J20" s="73">
        <v>9.2999999999999997E-5</v>
      </c>
    </row>
    <row r="21" spans="1:10">
      <c r="A21" s="6">
        <v>18</v>
      </c>
      <c r="B21" s="73">
        <v>1.0399999999999999E-4</v>
      </c>
      <c r="C21" s="52">
        <f t="shared" si="3"/>
        <v>0.9966149907327102</v>
      </c>
      <c r="D21" s="52">
        <f t="shared" si="4"/>
        <v>0.25024902911609137</v>
      </c>
      <c r="E21" s="52">
        <f t="shared" si="0"/>
        <v>0.24940193383340312</v>
      </c>
      <c r="F21" s="48">
        <f>SUM(E21:$E$122)</f>
        <v>3.3329835039636686</v>
      </c>
      <c r="G21" s="48">
        <f t="shared" si="1"/>
        <v>13.363904011225724</v>
      </c>
      <c r="H21" s="6">
        <f t="shared" si="2"/>
        <v>0.26264392333455389</v>
      </c>
      <c r="J21" s="73">
        <v>1.0399999999999999E-4</v>
      </c>
    </row>
    <row r="22" spans="1:10">
      <c r="A22" s="6">
        <v>19</v>
      </c>
      <c r="B22" s="73">
        <v>1.1400000000000001E-4</v>
      </c>
      <c r="C22" s="52">
        <f t="shared" si="3"/>
        <v>0.99651134277367404</v>
      </c>
      <c r="D22" s="52">
        <f t="shared" si="4"/>
        <v>0.23171206399638089</v>
      </c>
      <c r="E22" s="52">
        <f t="shared" si="0"/>
        <v>0.23090370002989302</v>
      </c>
      <c r="F22" s="48">
        <f>SUM(E22:$E$122)</f>
        <v>3.0835815701302653</v>
      </c>
      <c r="G22" s="48">
        <f t="shared" si="1"/>
        <v>13.354405190263568</v>
      </c>
      <c r="H22" s="6">
        <f t="shared" si="2"/>
        <v>0.28368494043512338</v>
      </c>
      <c r="J22" s="73">
        <v>1.1400000000000001E-4</v>
      </c>
    </row>
    <row r="23" spans="1:10">
      <c r="A23" s="6">
        <v>20</v>
      </c>
      <c r="B23" s="73">
        <v>1.2300000000000001E-4</v>
      </c>
      <c r="C23" s="52">
        <f t="shared" si="3"/>
        <v>0.99639774048059793</v>
      </c>
      <c r="D23" s="52">
        <f t="shared" si="4"/>
        <v>0.21454820740405639</v>
      </c>
      <c r="E23" s="52">
        <f t="shared" si="0"/>
        <v>0.21377534908156448</v>
      </c>
      <c r="F23" s="48">
        <f>SUM(E23:$E$122)</f>
        <v>2.8526778701003725</v>
      </c>
      <c r="G23" s="48">
        <f t="shared" si="1"/>
        <v>13.344278853273925</v>
      </c>
      <c r="H23" s="6">
        <f t="shared" si="2"/>
        <v>0.30641466694196462</v>
      </c>
      <c r="J23" s="73">
        <v>1.2300000000000001E-4</v>
      </c>
    </row>
    <row r="24" spans="1:10">
      <c r="A24" s="6">
        <v>21</v>
      </c>
      <c r="B24" s="73">
        <v>1.35E-4</v>
      </c>
      <c r="C24" s="52">
        <f t="shared" si="3"/>
        <v>0.99627518355851885</v>
      </c>
      <c r="D24" s="52">
        <f t="shared" si="4"/>
        <v>0.19865574759634846</v>
      </c>
      <c r="E24" s="52">
        <f t="shared" si="0"/>
        <v>0.19791579140150686</v>
      </c>
      <c r="F24" s="48">
        <f>SUM(E24:$E$122)</f>
        <v>2.6389025210188084</v>
      </c>
      <c r="G24" s="48">
        <f t="shared" si="1"/>
        <v>13.333461177260647</v>
      </c>
      <c r="H24" s="6">
        <f t="shared" si="2"/>
        <v>0.33096854942890158</v>
      </c>
      <c r="J24" s="73">
        <v>1.35E-4</v>
      </c>
    </row>
    <row r="25" spans="1:10">
      <c r="A25" s="6">
        <v>22</v>
      </c>
      <c r="B25" s="73">
        <v>1.47E-4</v>
      </c>
      <c r="C25" s="52">
        <f t="shared" si="3"/>
        <v>0.99614068640873843</v>
      </c>
      <c r="D25" s="52">
        <f t="shared" si="4"/>
        <v>0.18394050703365597</v>
      </c>
      <c r="E25" s="52">
        <f t="shared" si="0"/>
        <v>0.18323062293487744</v>
      </c>
      <c r="F25" s="48">
        <f>SUM(E25:$E$122)</f>
        <v>2.4409867296173027</v>
      </c>
      <c r="G25" s="48">
        <f t="shared" si="1"/>
        <v>13.321936532873446</v>
      </c>
      <c r="H25" s="6">
        <f t="shared" si="2"/>
        <v>0.35749429511305403</v>
      </c>
      <c r="J25" s="73">
        <v>1.47E-4</v>
      </c>
    </row>
    <row r="26" spans="1:10">
      <c r="A26" s="6">
        <v>23</v>
      </c>
      <c r="B26" s="73">
        <v>1.5699999999999999E-4</v>
      </c>
      <c r="C26" s="52">
        <f t="shared" si="3"/>
        <v>0.99599425372783634</v>
      </c>
      <c r="D26" s="52">
        <f t="shared" si="4"/>
        <v>0.17031528429042217</v>
      </c>
      <c r="E26" s="52">
        <f t="shared" si="0"/>
        <v>0.16963304447528332</v>
      </c>
      <c r="F26" s="48">
        <f>SUM(E26:$E$122)</f>
        <v>2.2577561066824257</v>
      </c>
      <c r="G26" s="48">
        <f t="shared" si="1"/>
        <v>13.309647973755467</v>
      </c>
      <c r="H26" s="6">
        <f t="shared" si="2"/>
        <v>0.38615060286071895</v>
      </c>
      <c r="J26" s="73">
        <v>1.5699999999999999E-4</v>
      </c>
    </row>
    <row r="27" spans="1:10">
      <c r="A27" s="6">
        <v>24</v>
      </c>
      <c r="B27" s="73">
        <v>1.63E-4</v>
      </c>
      <c r="C27" s="52">
        <f t="shared" si="3"/>
        <v>0.99583788263000106</v>
      </c>
      <c r="D27" s="52">
        <f t="shared" si="4"/>
        <v>0.15769933730594646</v>
      </c>
      <c r="E27" s="52">
        <f t="shared" si="0"/>
        <v>0.15704297415490806</v>
      </c>
      <c r="F27" s="48">
        <f>SUM(E27:$E$122)</f>
        <v>2.0881230622071421</v>
      </c>
      <c r="G27" s="48">
        <f t="shared" si="1"/>
        <v>13.296507363311942</v>
      </c>
      <c r="H27" s="6">
        <f t="shared" si="2"/>
        <v>0.41710813706709599</v>
      </c>
      <c r="J27" s="73">
        <v>1.63E-4</v>
      </c>
    </row>
    <row r="28" spans="1:10">
      <c r="A28" s="6">
        <v>25</v>
      </c>
      <c r="B28" s="73">
        <v>1.6000000000000001E-4</v>
      </c>
      <c r="C28" s="52">
        <f t="shared" si="3"/>
        <v>0.99567556105513233</v>
      </c>
      <c r="D28" s="52">
        <f t="shared" si="4"/>
        <v>0.14601790491291336</v>
      </c>
      <c r="E28" s="52">
        <f t="shared" si="0"/>
        <v>0.14538645939825998</v>
      </c>
      <c r="F28" s="48">
        <f>SUM(E28:$E$122)</f>
        <v>1.9310800880522356</v>
      </c>
      <c r="G28" s="48">
        <f t="shared" si="1"/>
        <v>13.282392982433048</v>
      </c>
      <c r="H28" s="6">
        <f t="shared" si="2"/>
        <v>0.45055022771958209</v>
      </c>
      <c r="J28" s="73">
        <v>1.6000000000000001E-4</v>
      </c>
    </row>
    <row r="29" spans="1:10">
      <c r="A29" s="6">
        <v>26</v>
      </c>
      <c r="B29" s="73">
        <v>1.6000000000000001E-4</v>
      </c>
      <c r="C29" s="52">
        <f t="shared" si="3"/>
        <v>0.9955162529653635</v>
      </c>
      <c r="D29" s="52">
        <f t="shared" si="4"/>
        <v>0.13520176380825311</v>
      </c>
      <c r="E29" s="52">
        <f t="shared" si="0"/>
        <v>0.13459555330070022</v>
      </c>
      <c r="F29" s="48">
        <f>SUM(E29:$E$122)</f>
        <v>1.7856936286539755</v>
      </c>
      <c r="G29" s="48">
        <f t="shared" si="1"/>
        <v>13.267107158173001</v>
      </c>
      <c r="H29" s="6">
        <f t="shared" si="2"/>
        <v>0.4866721134753047</v>
      </c>
      <c r="J29" s="73">
        <v>1.6000000000000001E-4</v>
      </c>
    </row>
    <row r="30" spans="1:10">
      <c r="A30" s="6">
        <v>27</v>
      </c>
      <c r="B30" s="73">
        <v>1.63E-4</v>
      </c>
      <c r="C30" s="52">
        <f t="shared" si="3"/>
        <v>0.99535697036488902</v>
      </c>
      <c r="D30" s="52">
        <f t="shared" si="4"/>
        <v>0.12518681834097509</v>
      </c>
      <c r="E30" s="52">
        <f t="shared" si="0"/>
        <v>0.12460557223349268</v>
      </c>
      <c r="F30" s="48">
        <f>SUM(E30:$E$122)</f>
        <v>1.6510980753532751</v>
      </c>
      <c r="G30" s="48">
        <f t="shared" si="1"/>
        <v>13.250595826159026</v>
      </c>
      <c r="H30" s="6">
        <f t="shared" si="2"/>
        <v>0.52568999295220153</v>
      </c>
      <c r="J30" s="73">
        <v>1.63E-4</v>
      </c>
    </row>
    <row r="31" spans="1:10">
      <c r="A31" s="6">
        <v>28</v>
      </c>
      <c r="B31" s="73">
        <v>1.6799999999999999E-4</v>
      </c>
      <c r="C31" s="52">
        <f t="shared" si="3"/>
        <v>0.99519472717871948</v>
      </c>
      <c r="D31" s="52">
        <f t="shared" si="4"/>
        <v>0.11591372068608806</v>
      </c>
      <c r="E31" s="52">
        <f t="shared" si="0"/>
        <v>0.1153567236344617</v>
      </c>
      <c r="F31" s="48">
        <f>SUM(E31:$E$122)</f>
        <v>1.5264925031197825</v>
      </c>
      <c r="G31" s="48">
        <f t="shared" si="1"/>
        <v>13.232800438723258</v>
      </c>
      <c r="H31" s="6">
        <f t="shared" si="2"/>
        <v>0.56783774994161806</v>
      </c>
      <c r="J31" s="73">
        <v>1.6799999999999999E-4</v>
      </c>
    </row>
    <row r="32" spans="1:10">
      <c r="A32" s="6">
        <v>29</v>
      </c>
      <c r="B32" s="73">
        <v>1.75E-4</v>
      </c>
      <c r="C32" s="52">
        <f t="shared" si="3"/>
        <v>0.9950275344645535</v>
      </c>
      <c r="D32" s="52">
        <f t="shared" si="4"/>
        <v>0.1073275191537852</v>
      </c>
      <c r="E32" s="52">
        <f t="shared" si="0"/>
        <v>0.10679383676378804</v>
      </c>
      <c r="F32" s="48">
        <f>SUM(E32:$E$122)</f>
        <v>1.4111357794853208</v>
      </c>
      <c r="G32" s="48">
        <f t="shared" si="1"/>
        <v>13.213644366074623</v>
      </c>
      <c r="H32" s="6">
        <f t="shared" si="2"/>
        <v>0.61336781572999033</v>
      </c>
      <c r="J32" s="73">
        <v>1.75E-4</v>
      </c>
    </row>
    <row r="33" spans="1:10">
      <c r="A33" s="6">
        <v>30</v>
      </c>
      <c r="B33" s="73">
        <v>1.85E-4</v>
      </c>
      <c r="C33" s="52">
        <f t="shared" si="3"/>
        <v>0.99485340464602212</v>
      </c>
      <c r="D33" s="52">
        <f t="shared" si="4"/>
        <v>9.937733254980112E-2</v>
      </c>
      <c r="E33" s="52">
        <f t="shared" si="0"/>
        <v>9.8865877631809596E-2</v>
      </c>
      <c r="F33" s="48">
        <f>SUM(E33:$E$122)</f>
        <v>1.3043419427215328</v>
      </c>
      <c r="G33" s="48">
        <f t="shared" si="1"/>
        <v>13.193044698182778</v>
      </c>
      <c r="H33" s="6">
        <f t="shared" si="2"/>
        <v>0.66255318779625394</v>
      </c>
      <c r="J33" s="73">
        <v>1.85E-4</v>
      </c>
    </row>
    <row r="34" spans="1:10">
      <c r="A34" s="6">
        <v>31</v>
      </c>
      <c r="B34" s="73">
        <v>1.9699999999999999E-4</v>
      </c>
      <c r="C34" s="52">
        <f t="shared" si="3"/>
        <v>0.99466935676616264</v>
      </c>
      <c r="D34" s="52">
        <f t="shared" si="4"/>
        <v>9.2016048657223237E-2</v>
      </c>
      <c r="E34" s="52">
        <f t="shared" si="0"/>
        <v>9.1525543930044168E-2</v>
      </c>
      <c r="F34" s="48">
        <f>SUM(E34:$E$122)</f>
        <v>1.2054760650897232</v>
      </c>
      <c r="G34" s="48">
        <f t="shared" si="1"/>
        <v>13.170924895143001</v>
      </c>
      <c r="H34" s="6">
        <f t="shared" si="2"/>
        <v>0.71568984544136094</v>
      </c>
      <c r="J34" s="73">
        <v>1.9699999999999999E-4</v>
      </c>
    </row>
    <row r="35" spans="1:10">
      <c r="A35" s="6">
        <v>32</v>
      </c>
      <c r="B35" s="73">
        <v>2.1000000000000001E-4</v>
      </c>
      <c r="C35" s="52">
        <f t="shared" si="3"/>
        <v>0.99447340690287966</v>
      </c>
      <c r="D35" s="52">
        <f t="shared" si="4"/>
        <v>8.520004505298448E-2</v>
      </c>
      <c r="E35" s="52">
        <f t="shared" si="0"/>
        <v>8.4729179072120311E-2</v>
      </c>
      <c r="F35" s="48">
        <f>SUM(E35:$E$122)</f>
        <v>1.1139505211596792</v>
      </c>
      <c r="G35" s="48">
        <f t="shared" si="1"/>
        <v>13.147188882964389</v>
      </c>
      <c r="H35" s="6">
        <f t="shared" si="2"/>
        <v>0.77309733325132046</v>
      </c>
      <c r="J35" s="73">
        <v>2.1000000000000001E-4</v>
      </c>
    </row>
    <row r="36" spans="1:10">
      <c r="A36" s="6">
        <v>33</v>
      </c>
      <c r="B36" s="73">
        <v>2.2499999999999999E-4</v>
      </c>
      <c r="C36" s="52">
        <f t="shared" si="3"/>
        <v>0.99426456748742997</v>
      </c>
      <c r="D36" s="52">
        <f t="shared" si="4"/>
        <v>7.8888930604615257E-2</v>
      </c>
      <c r="E36" s="52">
        <f t="shared" si="0"/>
        <v>7.8436468467143666E-2</v>
      </c>
      <c r="F36" s="48">
        <f>SUM(E36:$E$122)</f>
        <v>1.0292213420875591</v>
      </c>
      <c r="G36" s="48">
        <f t="shared" si="1"/>
        <v>13.121719554708033</v>
      </c>
      <c r="H36" s="6">
        <f t="shared" si="2"/>
        <v>0.83512049521542142</v>
      </c>
      <c r="J36" s="73">
        <v>2.2499999999999999E-4</v>
      </c>
    </row>
    <row r="37" spans="1:10">
      <c r="A37" s="6">
        <v>34</v>
      </c>
      <c r="B37" s="73">
        <v>2.3900000000000001E-4</v>
      </c>
      <c r="C37" s="52">
        <f t="shared" si="3"/>
        <v>0.99404085795974528</v>
      </c>
      <c r="D37" s="52">
        <f t="shared" si="4"/>
        <v>7.3045306115384484E-2</v>
      </c>
      <c r="E37" s="52">
        <f t="shared" si="0"/>
        <v>7.2610018760869019E-2</v>
      </c>
      <c r="F37" s="48">
        <f>SUM(E37:$E$122)</f>
        <v>0.95078487362041519</v>
      </c>
      <c r="G37" s="48">
        <f t="shared" si="1"/>
        <v>13.094403359840641</v>
      </c>
      <c r="H37" s="6">
        <f t="shared" si="2"/>
        <v>0.90213311478348157</v>
      </c>
      <c r="J37" s="73">
        <v>2.3900000000000001E-4</v>
      </c>
    </row>
    <row r="38" spans="1:10">
      <c r="A38" s="6">
        <v>35</v>
      </c>
      <c r="B38" s="73">
        <v>2.5300000000000002E-4</v>
      </c>
      <c r="C38" s="52">
        <f t="shared" si="3"/>
        <v>0.99380328219469294</v>
      </c>
      <c r="D38" s="52">
        <f t="shared" si="4"/>
        <v>6.7634542699430075E-2</v>
      </c>
      <c r="E38" s="52">
        <f t="shared" si="0"/>
        <v>6.7215430524430714E-2</v>
      </c>
      <c r="F38" s="48">
        <f>SUM(E38:$E$122)</f>
        <v>0.87817485485954627</v>
      </c>
      <c r="G38" s="48">
        <f t="shared" si="1"/>
        <v>13.065078182313465</v>
      </c>
      <c r="H38" s="53">
        <f t="shared" si="2"/>
        <v>0.97453667823225765</v>
      </c>
      <c r="J38" s="73">
        <v>2.5300000000000002E-4</v>
      </c>
    </row>
    <row r="39" spans="1:10">
      <c r="A39" s="6">
        <v>36</v>
      </c>
      <c r="B39" s="73">
        <v>2.6600000000000001E-4</v>
      </c>
      <c r="C39" s="52">
        <f t="shared" si="3"/>
        <v>0.99355184996429768</v>
      </c>
      <c r="D39" s="52">
        <f t="shared" si="4"/>
        <v>6.2624576573546364E-2</v>
      </c>
      <c r="E39" s="52">
        <f t="shared" si="0"/>
        <v>6.2220763907877806E-2</v>
      </c>
      <c r="F39" s="48">
        <f>SUM(E39:$E$122)</f>
        <v>0.81095942433511559</v>
      </c>
      <c r="G39" s="48">
        <f t="shared" si="1"/>
        <v>13.033581933127625</v>
      </c>
      <c r="H39" s="6">
        <f t="shared" si="2"/>
        <v>1.0527659622792949</v>
      </c>
      <c r="J39" s="73">
        <v>2.6600000000000001E-4</v>
      </c>
    </row>
    <row r="40" spans="1:10">
      <c r="A40" s="6">
        <v>37</v>
      </c>
      <c r="B40" s="73">
        <v>2.8200000000000002E-4</v>
      </c>
      <c r="C40" s="52">
        <f t="shared" si="3"/>
        <v>0.99328756517220718</v>
      </c>
      <c r="D40" s="52">
        <f t="shared" si="4"/>
        <v>5.7985719049579949E-2</v>
      </c>
      <c r="E40" s="52">
        <f t="shared" si="0"/>
        <v>5.7596493689516942E-2</v>
      </c>
      <c r="F40" s="48">
        <f>SUM(E40:$E$122)</f>
        <v>0.7487386604272378</v>
      </c>
      <c r="G40" s="48">
        <f t="shared" si="1"/>
        <v>12.999726415004229</v>
      </c>
      <c r="H40" s="6">
        <f t="shared" si="2"/>
        <v>1.1372897583373565</v>
      </c>
      <c r="J40" s="73">
        <v>2.8200000000000002E-4</v>
      </c>
    </row>
    <row r="41" spans="1:10">
      <c r="A41" s="6">
        <v>38</v>
      </c>
      <c r="B41" s="73">
        <v>2.99E-4</v>
      </c>
      <c r="C41" s="52">
        <f t="shared" si="3"/>
        <v>0.99300745807882862</v>
      </c>
      <c r="D41" s="52">
        <f t="shared" si="4"/>
        <v>5.3690480601462913E-2</v>
      </c>
      <c r="E41" s="52">
        <f t="shared" si="0"/>
        <v>5.3315047665089342E-2</v>
      </c>
      <c r="F41" s="48">
        <f>SUM(E41:$E$122)</f>
        <v>0.69114216673772078</v>
      </c>
      <c r="G41" s="48">
        <f t="shared" si="1"/>
        <v>12.963360195779778</v>
      </c>
      <c r="H41" s="6">
        <f t="shared" si="2"/>
        <v>1.2286194096778744</v>
      </c>
      <c r="J41" s="73">
        <v>2.99E-4</v>
      </c>
    </row>
    <row r="42" spans="1:10">
      <c r="A42" s="6">
        <v>39</v>
      </c>
      <c r="B42" s="73">
        <v>3.1799999999999998E-4</v>
      </c>
      <c r="C42" s="52">
        <f t="shared" si="3"/>
        <v>0.99271054884886301</v>
      </c>
      <c r="D42" s="52">
        <f t="shared" si="4"/>
        <v>4.9713407964317509E-2</v>
      </c>
      <c r="E42" s="52">
        <f t="shared" si="0"/>
        <v>4.9351024505405072E-2</v>
      </c>
      <c r="F42" s="48">
        <f>SUM(E42:$E$122)</f>
        <v>0.63782711907263145</v>
      </c>
      <c r="G42" s="48">
        <f t="shared" si="1"/>
        <v>12.924293375161335</v>
      </c>
      <c r="H42" s="6">
        <f t="shared" si="2"/>
        <v>1.3273058268943458</v>
      </c>
      <c r="J42" s="73">
        <v>3.1799999999999998E-4</v>
      </c>
    </row>
    <row r="43" spans="1:10">
      <c r="A43" s="6">
        <v>40</v>
      </c>
      <c r="B43" s="73">
        <v>3.4200000000000002E-4</v>
      </c>
      <c r="C43" s="52">
        <f t="shared" si="3"/>
        <v>0.99239486689432899</v>
      </c>
      <c r="D43" s="52">
        <f t="shared" si="4"/>
        <v>4.6030933300293994E-2</v>
      </c>
      <c r="E43" s="52">
        <f t="shared" si="0"/>
        <v>4.5680861925566994E-2</v>
      </c>
      <c r="F43" s="48">
        <f>SUM(E43:$E$122)</f>
        <v>0.58847609456722616</v>
      </c>
      <c r="G43" s="48">
        <f t="shared" si="1"/>
        <v>12.882333427204088</v>
      </c>
      <c r="H43" s="6">
        <f t="shared" si="2"/>
        <v>1.4339462879654665</v>
      </c>
      <c r="J43" s="73">
        <v>3.4200000000000002E-4</v>
      </c>
    </row>
    <row r="44" spans="1:10">
      <c r="A44" s="6">
        <v>41</v>
      </c>
      <c r="B44" s="73">
        <v>3.68E-4</v>
      </c>
      <c r="C44" s="52">
        <f t="shared" si="3"/>
        <v>0.99205546784985121</v>
      </c>
      <c r="D44" s="52">
        <f t="shared" si="4"/>
        <v>4.2621234537309247E-2</v>
      </c>
      <c r="E44" s="52">
        <f t="shared" si="0"/>
        <v>4.2282628769248563E-2</v>
      </c>
      <c r="F44" s="48">
        <f>SUM(E44:$E$122)</f>
        <v>0.5427952326416593</v>
      </c>
      <c r="G44" s="48">
        <f t="shared" si="1"/>
        <v>12.837310461558271</v>
      </c>
      <c r="H44" s="6">
        <f t="shared" si="2"/>
        <v>1.5491918146032981</v>
      </c>
      <c r="J44" s="73">
        <v>3.68E-4</v>
      </c>
    </row>
    <row r="45" spans="1:10">
      <c r="A45" s="6">
        <v>42</v>
      </c>
      <c r="B45" s="73">
        <v>4.0000000000000002E-4</v>
      </c>
      <c r="C45" s="52">
        <f t="shared" si="3"/>
        <v>0.99169039143768245</v>
      </c>
      <c r="D45" s="52">
        <f t="shared" si="4"/>
        <v>3.9464106053064114E-2</v>
      </c>
      <c r="E45" s="52">
        <f t="shared" si="0"/>
        <v>3.9136174779501362E-2</v>
      </c>
      <c r="F45" s="48">
        <f>SUM(E45:$E$122)</f>
        <v>0.50051260387241114</v>
      </c>
      <c r="G45" s="48">
        <f t="shared" si="1"/>
        <v>12.789001651090548</v>
      </c>
      <c r="H45" s="6">
        <f t="shared" si="2"/>
        <v>1.6737430972313436</v>
      </c>
      <c r="J45" s="73">
        <v>4.0000000000000002E-4</v>
      </c>
    </row>
    <row r="46" spans="1:10">
      <c r="A46" s="6">
        <v>43</v>
      </c>
      <c r="B46" s="73">
        <v>4.3899999999999999E-4</v>
      </c>
      <c r="C46" s="52">
        <f t="shared" si="3"/>
        <v>0.99129371528110743</v>
      </c>
      <c r="D46" s="52">
        <f t="shared" si="4"/>
        <v>3.6540838938022326E-2</v>
      </c>
      <c r="E46" s="52">
        <f t="shared" si="0"/>
        <v>3.6222703990360705E-2</v>
      </c>
      <c r="F46" s="48">
        <f>SUM(E46:$E$122)</f>
        <v>0.46137642909290966</v>
      </c>
      <c r="G46" s="48">
        <f t="shared" si="1"/>
        <v>12.737216669845726</v>
      </c>
      <c r="H46" s="6">
        <f t="shared" si="2"/>
        <v>1.8083658913663976</v>
      </c>
      <c r="J46" s="73">
        <v>4.3899999999999999E-4</v>
      </c>
    </row>
    <row r="47" spans="1:10">
      <c r="A47" s="6">
        <v>44</v>
      </c>
      <c r="B47" s="73">
        <v>4.86E-4</v>
      </c>
      <c r="C47" s="52">
        <f t="shared" si="3"/>
        <v>0.9908585373400991</v>
      </c>
      <c r="D47" s="52">
        <f t="shared" si="4"/>
        <v>3.3834110127798453E-2</v>
      </c>
      <c r="E47" s="52">
        <f t="shared" si="0"/>
        <v>3.3524816873434206E-2</v>
      </c>
      <c r="F47" s="48">
        <f>SUM(E47:$E$122)</f>
        <v>0.4251537251025489</v>
      </c>
      <c r="G47" s="48">
        <f t="shared" si="1"/>
        <v>12.681761296642605</v>
      </c>
      <c r="H47" s="6">
        <f t="shared" si="2"/>
        <v>1.9538929216683214</v>
      </c>
      <c r="J47" s="73">
        <v>4.86E-4</v>
      </c>
    </row>
    <row r="48" spans="1:10">
      <c r="A48" s="6">
        <v>45</v>
      </c>
      <c r="B48" s="73">
        <v>5.4100000000000003E-4</v>
      </c>
      <c r="C48" s="52">
        <f t="shared" si="3"/>
        <v>0.99037698009095188</v>
      </c>
      <c r="D48" s="52">
        <f t="shared" si="4"/>
        <v>3.1327879747961515E-2</v>
      </c>
      <c r="E48" s="52">
        <f t="shared" si="0"/>
        <v>3.1026410937438617E-2</v>
      </c>
      <c r="F48" s="48">
        <f>SUM(E48:$E$122)</f>
        <v>0.39162890822911467</v>
      </c>
      <c r="G48" s="48">
        <f t="shared" si="1"/>
        <v>12.622436704612459</v>
      </c>
      <c r="H48" s="53">
        <f t="shared" si="2"/>
        <v>2.111230413382692</v>
      </c>
      <c r="J48" s="73">
        <v>5.4100000000000003E-4</v>
      </c>
    </row>
    <row r="49" spans="1:10">
      <c r="A49" s="6">
        <v>46</v>
      </c>
      <c r="B49" s="73">
        <v>6.0800000000000003E-4</v>
      </c>
      <c r="C49" s="52">
        <f t="shared" si="3"/>
        <v>0.98984118614472261</v>
      </c>
      <c r="D49" s="52">
        <f t="shared" si="4"/>
        <v>2.9007296062927332E-2</v>
      </c>
      <c r="E49" s="52">
        <f t="shared" si="0"/>
        <v>2.8712616341779133E-2</v>
      </c>
      <c r="F49" s="48">
        <f>SUM(E49:$E$122)</f>
        <v>0.36060249729167604</v>
      </c>
      <c r="G49" s="48">
        <f t="shared" si="1"/>
        <v>12.559026074087537</v>
      </c>
      <c r="H49" s="6">
        <f t="shared" si="2"/>
        <v>2.2813630638708613</v>
      </c>
      <c r="J49" s="73">
        <v>6.0800000000000003E-4</v>
      </c>
    </row>
    <row r="50" spans="1:10">
      <c r="A50" s="6">
        <v>47</v>
      </c>
      <c r="B50" s="73">
        <v>6.8499999999999995E-4</v>
      </c>
      <c r="C50" s="52">
        <f t="shared" si="3"/>
        <v>0.98923936270354651</v>
      </c>
      <c r="D50" s="52">
        <f t="shared" si="4"/>
        <v>2.6858607465673451E-2</v>
      </c>
      <c r="E50" s="52">
        <f t="shared" si="0"/>
        <v>2.6569591732447519E-2</v>
      </c>
      <c r="F50" s="48">
        <f>SUM(E50:$E$122)</f>
        <v>0.33188988094989691</v>
      </c>
      <c r="G50" s="48">
        <f t="shared" si="1"/>
        <v>12.491342896495613</v>
      </c>
      <c r="H50" s="6">
        <f t="shared" si="2"/>
        <v>2.4653710545817167</v>
      </c>
      <c r="J50" s="73">
        <v>6.8499999999999995E-4</v>
      </c>
    </row>
    <row r="51" spans="1:10">
      <c r="A51" s="6">
        <v>48</v>
      </c>
      <c r="B51" s="73">
        <v>7.7499999999999997E-4</v>
      </c>
      <c r="C51" s="52">
        <f t="shared" si="3"/>
        <v>0.98856173374009448</v>
      </c>
      <c r="D51" s="52">
        <f t="shared" si="4"/>
        <v>2.4869080986734678E-2</v>
      </c>
      <c r="E51" s="52">
        <f t="shared" si="0"/>
        <v>2.4584621816769254E-2</v>
      </c>
      <c r="F51" s="48">
        <f>SUM(E51:$E$122)</f>
        <v>0.30532028921744941</v>
      </c>
      <c r="G51" s="48">
        <f t="shared" si="1"/>
        <v>12.419157451069246</v>
      </c>
      <c r="H51" s="6">
        <f t="shared" si="2"/>
        <v>2.6644258706696626</v>
      </c>
      <c r="J51" s="73">
        <v>7.7499999999999997E-4</v>
      </c>
    </row>
    <row r="52" spans="1:10">
      <c r="A52" s="6">
        <v>49</v>
      </c>
      <c r="B52" s="73">
        <v>8.7699999999999996E-4</v>
      </c>
      <c r="C52" s="52">
        <f t="shared" si="3"/>
        <v>0.98779559839644593</v>
      </c>
      <c r="D52" s="52">
        <f t="shared" si="4"/>
        <v>2.302692683956914E-2</v>
      </c>
      <c r="E52" s="52">
        <f t="shared" si="0"/>
        <v>2.2745896976723381E-2</v>
      </c>
      <c r="F52" s="48">
        <f>SUM(E52:$E$122)</f>
        <v>0.28073566740068007</v>
      </c>
      <c r="G52" s="48">
        <f t="shared" si="1"/>
        <v>12.342255295008416</v>
      </c>
      <c r="H52" s="6">
        <f t="shared" si="2"/>
        <v>2.8798117944639459</v>
      </c>
      <c r="J52" s="73">
        <v>8.7699999999999996E-4</v>
      </c>
    </row>
    <row r="53" spans="1:10">
      <c r="A53" s="6">
        <v>50</v>
      </c>
      <c r="B53" s="73">
        <v>9.9500000000000001E-4</v>
      </c>
      <c r="C53" s="52">
        <f t="shared" si="3"/>
        <v>0.98692930165665227</v>
      </c>
      <c r="D53" s="52">
        <f t="shared" si="4"/>
        <v>2.1321228555156609E-2</v>
      </c>
      <c r="E53" s="52">
        <f t="shared" si="0"/>
        <v>2.1042545208402586E-2</v>
      </c>
      <c r="F53" s="48">
        <f>SUM(E53:$E$122)</f>
        <v>0.25798977042395671</v>
      </c>
      <c r="G53" s="48">
        <f t="shared" si="1"/>
        <v>12.260388078954334</v>
      </c>
      <c r="H53" s="6">
        <f t="shared" si="2"/>
        <v>3.1129267748025637</v>
      </c>
      <c r="J53" s="73">
        <v>9.9500000000000001E-4</v>
      </c>
    </row>
    <row r="54" spans="1:10">
      <c r="A54" s="6">
        <v>51</v>
      </c>
      <c r="B54" s="73">
        <v>1.116E-3</v>
      </c>
      <c r="C54" s="52">
        <f t="shared" si="3"/>
        <v>0.9859473070015039</v>
      </c>
      <c r="D54" s="52">
        <f t="shared" si="4"/>
        <v>1.9741878291811676E-2</v>
      </c>
      <c r="E54" s="52">
        <f t="shared" si="0"/>
        <v>1.9464451736963172E-2</v>
      </c>
      <c r="F54" s="48">
        <f>SUM(E54:$E$122)</f>
        <v>0.23694722521555414</v>
      </c>
      <c r="G54" s="48">
        <f t="shared" si="1"/>
        <v>12.173331590202933</v>
      </c>
      <c r="H54" s="6">
        <f t="shared" si="2"/>
        <v>3.3653093996394099</v>
      </c>
      <c r="J54" s="73">
        <v>1.116E-3</v>
      </c>
    </row>
    <row r="55" spans="1:10">
      <c r="A55" s="6">
        <v>52</v>
      </c>
      <c r="B55" s="73">
        <v>1.2669999999999999E-3</v>
      </c>
      <c r="C55" s="52">
        <f t="shared" si="3"/>
        <v>0.98484698980689023</v>
      </c>
      <c r="D55" s="52">
        <f t="shared" si="4"/>
        <v>1.8279516936862663E-2</v>
      </c>
      <c r="E55" s="52">
        <f t="shared" si="0"/>
        <v>1.8002527230393261E-2</v>
      </c>
      <c r="F55" s="48">
        <f>SUM(E55:$E$122)</f>
        <v>0.21748277347859096</v>
      </c>
      <c r="G55" s="48">
        <f t="shared" si="1"/>
        <v>12.080680156473791</v>
      </c>
      <c r="H55" s="6">
        <f t="shared" si="2"/>
        <v>3.6385948234335146</v>
      </c>
      <c r="J55" s="73">
        <v>1.2669999999999999E-3</v>
      </c>
    </row>
    <row r="56" spans="1:10">
      <c r="A56" s="6">
        <v>53</v>
      </c>
      <c r="B56" s="73">
        <v>1.4419999999999999E-3</v>
      </c>
      <c r="C56" s="52">
        <f t="shared" si="3"/>
        <v>0.98359918867080487</v>
      </c>
      <c r="D56" s="52">
        <f t="shared" si="4"/>
        <v>1.6925478645243203E-2</v>
      </c>
      <c r="E56" s="52">
        <f t="shared" si="0"/>
        <v>1.6647887063326247E-2</v>
      </c>
      <c r="F56" s="48">
        <f>SUM(E56:$E$122)</f>
        <v>0.19948024624819774</v>
      </c>
      <c r="G56" s="48">
        <f t="shared" si="1"/>
        <v>11.982316163570946</v>
      </c>
      <c r="H56" s="6">
        <f t="shared" si="2"/>
        <v>3.9346676331994606</v>
      </c>
      <c r="J56" s="73">
        <v>1.4419999999999999E-3</v>
      </c>
    </row>
    <row r="57" spans="1:10">
      <c r="A57" s="6">
        <v>54</v>
      </c>
      <c r="B57" s="73">
        <v>1.645E-3</v>
      </c>
      <c r="C57" s="52">
        <f t="shared" si="3"/>
        <v>0.98218083864074146</v>
      </c>
      <c r="D57" s="52">
        <f t="shared" si="4"/>
        <v>1.5671739486336298E-2</v>
      </c>
      <c r="E57" s="52">
        <f t="shared" si="0"/>
        <v>1.5392482231649008E-2</v>
      </c>
      <c r="F57" s="48">
        <f>SUM(E57:$E$122)</f>
        <v>0.18283235918487148</v>
      </c>
      <c r="G57" s="48">
        <f t="shared" si="1"/>
        <v>11.878029575304211</v>
      </c>
      <c r="H57" s="6">
        <f t="shared" si="2"/>
        <v>4.2555775867354901</v>
      </c>
      <c r="J57" s="73">
        <v>1.645E-3</v>
      </c>
    </row>
    <row r="58" spans="1:10">
      <c r="A58" s="6">
        <v>55</v>
      </c>
      <c r="B58" s="73">
        <v>1.951E-3</v>
      </c>
      <c r="C58" s="52">
        <f t="shared" si="3"/>
        <v>0.98056515116117748</v>
      </c>
      <c r="D58" s="52">
        <f t="shared" si="4"/>
        <v>1.4510869894755829E-2</v>
      </c>
      <c r="E58" s="52">
        <f t="shared" si="0"/>
        <v>1.422885333183143E-2</v>
      </c>
      <c r="F58" s="48">
        <f>SUM(E58:$E$122)</f>
        <v>0.16743987695322249</v>
      </c>
      <c r="G58" s="48">
        <f t="shared" si="1"/>
        <v>11.767629692172173</v>
      </c>
      <c r="H58" s="53">
        <f t="shared" si="2"/>
        <v>4.6035967102627122</v>
      </c>
      <c r="J58" s="73">
        <v>1.951E-3</v>
      </c>
    </row>
    <row r="59" spans="1:10">
      <c r="A59" s="6">
        <v>56</v>
      </c>
      <c r="B59" s="73">
        <v>2.3479999999999998E-3</v>
      </c>
      <c r="C59" s="52">
        <f t="shared" si="3"/>
        <v>0.97865206855126197</v>
      </c>
      <c r="D59" s="52">
        <f t="shared" si="4"/>
        <v>1.3435990643292435E-2</v>
      </c>
      <c r="E59" s="52">
        <f t="shared" si="0"/>
        <v>1.3149160036093543E-2</v>
      </c>
      <c r="F59" s="48">
        <f>SUM(E59:$E$122)</f>
        <v>0.15321102362139105</v>
      </c>
      <c r="G59" s="48">
        <f t="shared" si="1"/>
        <v>11.651772676036895</v>
      </c>
      <c r="H59" s="6">
        <f t="shared" si="2"/>
        <v>4.9816035556207456</v>
      </c>
      <c r="J59" s="73">
        <v>2.3479999999999998E-3</v>
      </c>
    </row>
    <row r="60" spans="1:10">
      <c r="A60" s="6">
        <v>57</v>
      </c>
      <c r="B60" s="73">
        <v>2.7009999999999998E-3</v>
      </c>
      <c r="C60" s="52">
        <f t="shared" si="3"/>
        <v>0.97635419349430363</v>
      </c>
      <c r="D60" s="52">
        <f t="shared" si="4"/>
        <v>1.2440732077122622E-2</v>
      </c>
      <c r="E60" s="52">
        <f t="shared" si="0"/>
        <v>1.214656093363777E-2</v>
      </c>
      <c r="F60" s="48">
        <f>SUM(E60:$E$122)</f>
        <v>0.14006186358529751</v>
      </c>
      <c r="G60" s="48">
        <f t="shared" si="1"/>
        <v>11.530989252885625</v>
      </c>
      <c r="H60" s="6">
        <f t="shared" si="2"/>
        <v>5.3927941206657293</v>
      </c>
      <c r="J60" s="73">
        <v>2.7009999999999998E-3</v>
      </c>
    </row>
    <row r="61" spans="1:10">
      <c r="A61" s="6">
        <v>58</v>
      </c>
      <c r="B61" s="73">
        <v>3.0920000000000001E-3</v>
      </c>
      <c r="C61" s="52">
        <f t="shared" si="3"/>
        <v>0.97371706081767562</v>
      </c>
      <c r="D61" s="52">
        <f t="shared" si="4"/>
        <v>1.1519196367706132E-2</v>
      </c>
      <c r="E61" s="52">
        <f t="shared" si="0"/>
        <v>1.121643803014446E-2</v>
      </c>
      <c r="F61" s="48">
        <f>SUM(E61:$E$122)</f>
        <v>0.12791530265165973</v>
      </c>
      <c r="G61" s="48">
        <f t="shared" si="1"/>
        <v>11.404271329978744</v>
      </c>
      <c r="H61" s="6">
        <f t="shared" si="2"/>
        <v>5.839991467272089</v>
      </c>
      <c r="J61" s="73">
        <v>3.0920000000000001E-3</v>
      </c>
    </row>
    <row r="62" spans="1:10">
      <c r="A62" s="6">
        <v>59</v>
      </c>
      <c r="B62" s="73">
        <v>3.5260000000000001E-3</v>
      </c>
      <c r="C62" s="52">
        <f t="shared" si="3"/>
        <v>0.97070632766562737</v>
      </c>
      <c r="D62" s="52">
        <f t="shared" si="4"/>
        <v>1.066592256269086E-2</v>
      </c>
      <c r="E62" s="52">
        <f t="shared" si="0"/>
        <v>1.0353478521995602E-2</v>
      </c>
      <c r="F62" s="48">
        <f>SUM(E62:$E$122)</f>
        <v>0.11669886462151524</v>
      </c>
      <c r="G62" s="48">
        <f t="shared" si="1"/>
        <v>11.271464404315187</v>
      </c>
      <c r="H62" s="6">
        <f t="shared" si="2"/>
        <v>6.3267531052553068</v>
      </c>
      <c r="J62" s="73">
        <v>3.5260000000000001E-3</v>
      </c>
    </row>
    <row r="63" spans="1:10">
      <c r="A63" s="6">
        <v>60</v>
      </c>
      <c r="B63" s="73">
        <v>4.0289999999999996E-3</v>
      </c>
      <c r="C63" s="52">
        <f t="shared" si="3"/>
        <v>0.96728361715427835</v>
      </c>
      <c r="D63" s="52">
        <f t="shared" si="4"/>
        <v>9.8758542247137614E-3</v>
      </c>
      <c r="E63" s="52">
        <f t="shared" si="0"/>
        <v>9.5527519969694878E-3</v>
      </c>
      <c r="F63" s="48">
        <f>SUM(E63:$E$122)</f>
        <v>0.10634538609951963</v>
      </c>
      <c r="G63" s="48">
        <f t="shared" si="1"/>
        <v>11.132434520780672</v>
      </c>
      <c r="H63" s="6">
        <f t="shared" si="2"/>
        <v>6.8570713873876601</v>
      </c>
      <c r="J63" s="73">
        <v>4.0289999999999996E-3</v>
      </c>
    </row>
    <row r="64" spans="1:10">
      <c r="A64" s="6">
        <v>61</v>
      </c>
      <c r="B64" s="73">
        <v>4.6290000000000003E-3</v>
      </c>
      <c r="C64" s="52">
        <f t="shared" si="3"/>
        <v>0.96338643146076386</v>
      </c>
      <c r="D64" s="52">
        <f t="shared" si="4"/>
        <v>9.1443094673275532E-3</v>
      </c>
      <c r="E64" s="52">
        <f t="shared" si="0"/>
        <v>8.8095036659015698E-3</v>
      </c>
      <c r="F64" s="48">
        <f>SUM(E64:$E$122)</f>
        <v>9.6792634102550151E-2</v>
      </c>
      <c r="G64" s="48">
        <f t="shared" si="1"/>
        <v>10.987297102468977</v>
      </c>
      <c r="H64" s="6">
        <f t="shared" si="2"/>
        <v>7.4355951110812208</v>
      </c>
      <c r="J64" s="73">
        <v>4.6290000000000003E-3</v>
      </c>
    </row>
    <row r="65" spans="1:10">
      <c r="A65" s="6">
        <v>62</v>
      </c>
      <c r="B65" s="73">
        <v>5.2969999999999996E-3</v>
      </c>
      <c r="C65" s="52">
        <f t="shared" si="3"/>
        <v>0.95892691566953203</v>
      </c>
      <c r="D65" s="52">
        <f t="shared" si="4"/>
        <v>8.4669532104884766E-3</v>
      </c>
      <c r="E65" s="52">
        <f t="shared" si="0"/>
        <v>8.1191893272519571E-3</v>
      </c>
      <c r="F65" s="48">
        <f>SUM(E65:$E$122)</f>
        <v>8.7983130436648571E-2</v>
      </c>
      <c r="G65" s="48">
        <f t="shared" si="1"/>
        <v>10.836442764222076</v>
      </c>
      <c r="H65" s="6">
        <f t="shared" si="2"/>
        <v>8.0677885129943672</v>
      </c>
      <c r="J65" s="73">
        <v>5.2969999999999996E-3</v>
      </c>
    </row>
    <row r="66" spans="1:10">
      <c r="A66" s="6">
        <v>63</v>
      </c>
      <c r="B66" s="73">
        <v>6.0559999999999998E-3</v>
      </c>
      <c r="C66" s="52">
        <f t="shared" si="3"/>
        <v>0.9538474797972305</v>
      </c>
      <c r="D66" s="52">
        <f t="shared" si="4"/>
        <v>7.8397714911930313E-3</v>
      </c>
      <c r="E66" s="52">
        <f t="shared" si="0"/>
        <v>7.4779462790606488E-3</v>
      </c>
      <c r="F66" s="48">
        <f>SUM(E66:$E$122)</f>
        <v>7.9863941109396624E-2</v>
      </c>
      <c r="G66" s="48">
        <f t="shared" si="1"/>
        <v>10.679929773369384</v>
      </c>
      <c r="H66" s="6">
        <f t="shared" si="2"/>
        <v>8.7596112548508653</v>
      </c>
      <c r="J66" s="73">
        <v>6.0559999999999998E-3</v>
      </c>
    </row>
    <row r="67" spans="1:10">
      <c r="A67" s="6">
        <v>64</v>
      </c>
      <c r="B67" s="73">
        <v>6.7930000000000004E-3</v>
      </c>
      <c r="C67" s="52">
        <f t="shared" si="3"/>
        <v>0.94807097945957852</v>
      </c>
      <c r="D67" s="52">
        <f t="shared" si="4"/>
        <v>7.2590476770305855E-3</v>
      </c>
      <c r="E67" s="52">
        <f t="shared" si="0"/>
        <v>6.8820924411061657E-3</v>
      </c>
      <c r="F67" s="48">
        <f>SUM(E67:$E$122)</f>
        <v>7.2385994830335948E-2</v>
      </c>
      <c r="G67" s="48">
        <f t="shared" si="1"/>
        <v>10.518021292184397</v>
      </c>
      <c r="H67" s="6">
        <f t="shared" si="2"/>
        <v>9.5180212921844003</v>
      </c>
      <c r="J67" s="73">
        <v>6.7930000000000004E-3</v>
      </c>
    </row>
    <row r="68" spans="1:10" s="53" customFormat="1">
      <c r="A68" s="53">
        <v>65</v>
      </c>
      <c r="B68" s="74">
        <v>7.6010000000000001E-3</v>
      </c>
      <c r="C68" s="54">
        <f t="shared" si="3"/>
        <v>0.94163073329610958</v>
      </c>
      <c r="D68" s="54">
        <f t="shared" si="4"/>
        <v>6.7213404416949854E-3</v>
      </c>
      <c r="E68" s="54">
        <f t="shared" ref="E68:E123" si="5">C68*D68</f>
        <v>6.3290207288460463E-3</v>
      </c>
      <c r="F68" s="75">
        <f>SUM(E68:$E$122)</f>
        <v>6.5503902389229804E-2</v>
      </c>
      <c r="G68" s="75">
        <f t="shared" ref="G68:G123" si="6">F68/E68</f>
        <v>10.34976897621458</v>
      </c>
      <c r="H68" s="53">
        <f t="shared" ref="H68:H123" si="7">$F$68/E68</f>
        <v>10.34976897621458</v>
      </c>
      <c r="J68" s="74">
        <v>7.6010000000000001E-3</v>
      </c>
    </row>
    <row r="69" spans="1:10">
      <c r="A69" s="6">
        <v>66</v>
      </c>
      <c r="B69" s="73">
        <v>8.5129999999999997E-3</v>
      </c>
      <c r="C69" s="52">
        <f t="shared" ref="C69:C123" si="8">(1-B68)*C68</f>
        <v>0.93447339809232588</v>
      </c>
      <c r="D69" s="52">
        <f t="shared" ref="D69:D123" si="9">$F$1^A69</f>
        <v>6.2234633719398013E-3</v>
      </c>
      <c r="E69" s="52">
        <f t="shared" si="5"/>
        <v>5.8156609650797109E-3</v>
      </c>
      <c r="F69" s="48">
        <f>SUM(E69:$E$122)</f>
        <v>5.917488166038376E-2</v>
      </c>
      <c r="G69" s="48">
        <f t="shared" si="6"/>
        <v>10.175091363767747</v>
      </c>
      <c r="H69" s="6">
        <f t="shared" si="7"/>
        <v>11.263363318898696</v>
      </c>
      <c r="J69" s="73">
        <v>8.5129999999999997E-3</v>
      </c>
    </row>
    <row r="70" spans="1:10">
      <c r="A70" s="6">
        <v>67</v>
      </c>
      <c r="B70" s="73">
        <v>9.4190000000000003E-3</v>
      </c>
      <c r="C70" s="52">
        <f t="shared" si="8"/>
        <v>0.92651822605436596</v>
      </c>
      <c r="D70" s="52">
        <f t="shared" si="9"/>
        <v>5.7624660851294451E-3</v>
      </c>
      <c r="E70" s="52">
        <f t="shared" si="5"/>
        <v>5.3390298548925807E-3</v>
      </c>
      <c r="F70" s="48">
        <f>SUM(E70:$E$122)</f>
        <v>5.3359220695304049E-2</v>
      </c>
      <c r="G70" s="48">
        <f t="shared" si="6"/>
        <v>9.9941791197153016</v>
      </c>
      <c r="H70" s="6">
        <f t="shared" si="7"/>
        <v>12.268877337182023</v>
      </c>
      <c r="J70" s="73">
        <v>9.4190000000000003E-3</v>
      </c>
    </row>
    <row r="71" spans="1:10">
      <c r="A71" s="6">
        <v>68</v>
      </c>
      <c r="B71" s="73">
        <v>1.0399E-2</v>
      </c>
      <c r="C71" s="52">
        <f t="shared" si="8"/>
        <v>0.91779135088315988</v>
      </c>
      <c r="D71" s="52">
        <f t="shared" si="9"/>
        <v>5.3356167454902265E-3</v>
      </c>
      <c r="E71" s="52">
        <f t="shared" si="5"/>
        <v>4.8969829006382838E-3</v>
      </c>
      <c r="F71" s="48">
        <f>SUM(E71:$E$122)</f>
        <v>4.8020190840411474E-2</v>
      </c>
      <c r="G71" s="48">
        <f t="shared" si="6"/>
        <v>9.8060768874958519</v>
      </c>
      <c r="H71" s="6">
        <f t="shared" si="7"/>
        <v>13.376379644023645</v>
      </c>
      <c r="J71" s="73">
        <v>1.0399E-2</v>
      </c>
    </row>
    <row r="72" spans="1:10">
      <c r="A72" s="6">
        <v>69</v>
      </c>
      <c r="B72" s="73">
        <v>1.1476999999999999E-2</v>
      </c>
      <c r="C72" s="52">
        <f t="shared" si="8"/>
        <v>0.90824723862532586</v>
      </c>
      <c r="D72" s="52">
        <f t="shared" si="9"/>
        <v>4.9403858754539128E-3</v>
      </c>
      <c r="E72" s="52">
        <f t="shared" si="5"/>
        <v>4.4870918291245792E-3</v>
      </c>
      <c r="F72" s="48">
        <f>SUM(E72:$E$122)</f>
        <v>4.3123207939773187E-2</v>
      </c>
      <c r="G72" s="48">
        <f t="shared" si="6"/>
        <v>9.6105026556112225</v>
      </c>
      <c r="H72" s="6">
        <f t="shared" si="7"/>
        <v>14.598297713467892</v>
      </c>
      <c r="J72" s="73">
        <v>1.1476999999999999E-2</v>
      </c>
    </row>
    <row r="73" spans="1:10">
      <c r="A73" s="6">
        <v>70</v>
      </c>
      <c r="B73" s="73">
        <v>1.2664E-2</v>
      </c>
      <c r="C73" s="52">
        <f t="shared" si="8"/>
        <v>0.89782328506762299</v>
      </c>
      <c r="D73" s="52">
        <f t="shared" si="9"/>
        <v>4.5744313661610298E-3</v>
      </c>
      <c r="E73" s="52">
        <f t="shared" si="5"/>
        <v>4.1070309964830699E-3</v>
      </c>
      <c r="F73" s="48">
        <f>SUM(E73:$E$122)</f>
        <v>3.8636116110648613E-2</v>
      </c>
      <c r="G73" s="48">
        <f t="shared" si="6"/>
        <v>9.4073105714891039</v>
      </c>
      <c r="H73" s="6">
        <f t="shared" si="7"/>
        <v>15.949210620840715</v>
      </c>
      <c r="J73" s="73">
        <v>1.2664E-2</v>
      </c>
    </row>
    <row r="74" spans="1:10">
      <c r="A74" s="6">
        <v>71</v>
      </c>
      <c r="B74" s="73">
        <v>1.3995E-2</v>
      </c>
      <c r="C74" s="52">
        <f t="shared" si="8"/>
        <v>0.88645325098552663</v>
      </c>
      <c r="D74" s="52">
        <f t="shared" si="9"/>
        <v>4.2355845982972491E-3</v>
      </c>
      <c r="E74" s="52">
        <f t="shared" si="5"/>
        <v>3.7546477369848224E-3</v>
      </c>
      <c r="F74" s="48">
        <f>SUM(E74:$E$122)</f>
        <v>3.4529085114165539E-2</v>
      </c>
      <c r="G74" s="48">
        <f t="shared" si="6"/>
        <v>9.19635809613772</v>
      </c>
      <c r="H74" s="6">
        <f t="shared" si="7"/>
        <v>17.446084686983937</v>
      </c>
      <c r="J74" s="73">
        <v>1.3995E-2</v>
      </c>
    </row>
    <row r="75" spans="1:10">
      <c r="A75" s="6">
        <v>72</v>
      </c>
      <c r="B75" s="73">
        <v>1.5486E-2</v>
      </c>
      <c r="C75" s="52">
        <f t="shared" si="8"/>
        <v>0.87404733773798415</v>
      </c>
      <c r="D75" s="52">
        <f t="shared" si="9"/>
        <v>3.9218375910159715E-3</v>
      </c>
      <c r="E75" s="52">
        <f t="shared" si="5"/>
        <v>3.4278717054682592E-3</v>
      </c>
      <c r="F75" s="48">
        <f>SUM(E75:$E$122)</f>
        <v>3.0774437377180719E-2</v>
      </c>
      <c r="G75" s="48">
        <f t="shared" si="6"/>
        <v>8.9777097923729983</v>
      </c>
      <c r="H75" s="6">
        <f t="shared" si="7"/>
        <v>19.109204782879043</v>
      </c>
      <c r="J75" s="73">
        <v>1.5486E-2</v>
      </c>
    </row>
    <row r="76" spans="1:10">
      <c r="A76" s="6">
        <v>73</v>
      </c>
      <c r="B76" s="73">
        <v>1.7176E-2</v>
      </c>
      <c r="C76" s="52">
        <f t="shared" si="8"/>
        <v>0.86051184066577369</v>
      </c>
      <c r="D76" s="52">
        <f t="shared" si="9"/>
        <v>3.6313311027925659E-3</v>
      </c>
      <c r="E76" s="52">
        <f t="shared" si="5"/>
        <v>3.1248034113309049E-3</v>
      </c>
      <c r="F76" s="48">
        <f>SUM(E76:$E$122)</f>
        <v>2.7346565671712456E-2</v>
      </c>
      <c r="G76" s="48">
        <f t="shared" si="6"/>
        <v>8.7514515545363878</v>
      </c>
      <c r="H76" s="6">
        <f t="shared" si="7"/>
        <v>20.962567485591237</v>
      </c>
      <c r="J76" s="73">
        <v>1.7176E-2</v>
      </c>
    </row>
    <row r="77" spans="1:10">
      <c r="A77" s="6">
        <v>74</v>
      </c>
      <c r="B77" s="73">
        <v>1.9081000000000001E-2</v>
      </c>
      <c r="C77" s="52">
        <f t="shared" si="8"/>
        <v>0.84573168929049836</v>
      </c>
      <c r="D77" s="52">
        <f t="shared" si="9"/>
        <v>3.3623436136968202E-3</v>
      </c>
      <c r="E77" s="52">
        <f t="shared" si="5"/>
        <v>2.8436405443869306E-3</v>
      </c>
      <c r="F77" s="48">
        <f>SUM(E77:$E$122)</f>
        <v>2.4221762260381554E-2</v>
      </c>
      <c r="G77" s="48">
        <f t="shared" si="6"/>
        <v>8.5178706247500067</v>
      </c>
      <c r="H77" s="6">
        <f t="shared" si="7"/>
        <v>23.035225924925047</v>
      </c>
      <c r="J77" s="73">
        <v>1.9081000000000001E-2</v>
      </c>
    </row>
    <row r="78" spans="1:10">
      <c r="A78" s="6">
        <v>75</v>
      </c>
      <c r="B78" s="73">
        <v>2.1243000000000001E-2</v>
      </c>
      <c r="C78" s="52">
        <f t="shared" si="8"/>
        <v>0.82959428292714632</v>
      </c>
      <c r="D78" s="52">
        <f t="shared" si="9"/>
        <v>3.1132811237933517E-3</v>
      </c>
      <c r="E78" s="52">
        <f t="shared" si="5"/>
        <v>2.5827602214439659E-3</v>
      </c>
      <c r="F78" s="48">
        <f>SUM(E78:$E$122)</f>
        <v>2.1378121715994625E-2</v>
      </c>
      <c r="G78" s="48">
        <f t="shared" si="6"/>
        <v>8.2772382579295627</v>
      </c>
      <c r="H78" s="6">
        <f t="shared" si="7"/>
        <v>25.361975860309624</v>
      </c>
      <c r="J78" s="73">
        <v>2.1243000000000001E-2</v>
      </c>
    </row>
    <row r="79" spans="1:10">
      <c r="A79" s="6">
        <v>76</v>
      </c>
      <c r="B79" s="73">
        <v>2.3706999999999999E-2</v>
      </c>
      <c r="C79" s="52">
        <f t="shared" si="8"/>
        <v>0.81197121157492491</v>
      </c>
      <c r="D79" s="52">
        <f t="shared" si="9"/>
        <v>2.8826677072160663E-3</v>
      </c>
      <c r="E79" s="52">
        <f t="shared" si="5"/>
        <v>2.3406431907961401E-3</v>
      </c>
      <c r="F79" s="48">
        <f>SUM(E79:$E$122)</f>
        <v>1.8795361494550654E-2</v>
      </c>
      <c r="G79" s="48">
        <f t="shared" si="6"/>
        <v>8.0299985783641166</v>
      </c>
      <c r="H79" s="6">
        <f t="shared" si="7"/>
        <v>27.985428384302129</v>
      </c>
      <c r="J79" s="73">
        <v>2.3706999999999999E-2</v>
      </c>
    </row>
    <row r="80" spans="1:10">
      <c r="A80" s="6">
        <v>77</v>
      </c>
      <c r="B80" s="73">
        <v>2.6499999999999999E-2</v>
      </c>
      <c r="C80" s="52">
        <f t="shared" si="8"/>
        <v>0.79272181006211817</v>
      </c>
      <c r="D80" s="52">
        <f t="shared" si="9"/>
        <v>2.6691367659408016E-3</v>
      </c>
      <c r="E80" s="52">
        <f t="shared" si="5"/>
        <v>2.1158829283999406E-3</v>
      </c>
      <c r="F80" s="48">
        <f>SUM(E80:$E$122)</f>
        <v>1.6454718303754511E-2</v>
      </c>
      <c r="G80" s="48">
        <f t="shared" si="6"/>
        <v>7.776762165285672</v>
      </c>
      <c r="H80" s="6">
        <f t="shared" si="7"/>
        <v>30.958188428111541</v>
      </c>
      <c r="J80" s="73">
        <v>2.6499999999999999E-2</v>
      </c>
    </row>
    <row r="81" spans="1:10">
      <c r="A81" s="6">
        <v>78</v>
      </c>
      <c r="B81" s="73">
        <v>2.9713E-2</v>
      </c>
      <c r="C81" s="52">
        <f t="shared" si="8"/>
        <v>0.77171468209547212</v>
      </c>
      <c r="D81" s="52">
        <f t="shared" si="9"/>
        <v>2.471422931426668E-3</v>
      </c>
      <c r="E81" s="52">
        <f t="shared" si="5"/>
        <v>1.9072333618493909E-3</v>
      </c>
      <c r="F81" s="48">
        <f>SUM(E81:$E$122)</f>
        <v>1.4338835375354563E-2</v>
      </c>
      <c r="G81" s="48">
        <f t="shared" si="6"/>
        <v>7.5181336810565202</v>
      </c>
      <c r="H81" s="6">
        <f t="shared" si="7"/>
        <v>34.344985621325591</v>
      </c>
      <c r="J81" s="73">
        <v>2.9713E-2</v>
      </c>
    </row>
    <row r="82" spans="1:10">
      <c r="A82" s="6">
        <v>79</v>
      </c>
      <c r="B82" s="73">
        <v>3.3373E-2</v>
      </c>
      <c r="C82" s="52">
        <f t="shared" si="8"/>
        <v>0.7487847237463694</v>
      </c>
      <c r="D82" s="52">
        <f t="shared" si="9"/>
        <v>2.2883545661358034E-3</v>
      </c>
      <c r="E82" s="52">
        <f t="shared" si="5"/>
        <v>1.7134849416377406E-3</v>
      </c>
      <c r="F82" s="48">
        <f>SUM(E82:$E$122)</f>
        <v>1.2431602013505171E-2</v>
      </c>
      <c r="G82" s="48">
        <f t="shared" si="6"/>
        <v>7.2551568510564826</v>
      </c>
      <c r="H82" s="6">
        <f t="shared" si="7"/>
        <v>38.228466908277284</v>
      </c>
      <c r="J82" s="73">
        <v>3.3373E-2</v>
      </c>
    </row>
    <row r="83" spans="1:10">
      <c r="A83" s="6">
        <v>80</v>
      </c>
      <c r="B83" s="73">
        <v>3.7590999999999999E-2</v>
      </c>
      <c r="C83" s="52">
        <f t="shared" si="8"/>
        <v>0.72379553116078177</v>
      </c>
      <c r="D83" s="52">
        <f t="shared" si="9"/>
        <v>2.1188468204961144E-3</v>
      </c>
      <c r="E83" s="52">
        <f t="shared" si="5"/>
        <v>1.5336118598893186E-3</v>
      </c>
      <c r="F83" s="48">
        <f>SUM(E83:$E$122)</f>
        <v>1.0718117071867431E-2</v>
      </c>
      <c r="G83" s="48">
        <f t="shared" si="6"/>
        <v>6.9888068501510947</v>
      </c>
      <c r="H83" s="6">
        <f t="shared" si="7"/>
        <v>42.712177769645862</v>
      </c>
      <c r="J83" s="73">
        <v>3.7590999999999999E-2</v>
      </c>
    </row>
    <row r="84" spans="1:10">
      <c r="A84" s="6">
        <v>81</v>
      </c>
      <c r="B84" s="73">
        <v>4.2141999999999999E-2</v>
      </c>
      <c r="C84" s="52">
        <f t="shared" si="8"/>
        <v>0.69658733334891676</v>
      </c>
      <c r="D84" s="52">
        <f t="shared" si="9"/>
        <v>1.9618952041630684E-3</v>
      </c>
      <c r="E84" s="52">
        <f t="shared" si="5"/>
        <v>1.3666313485779804E-3</v>
      </c>
      <c r="F84" s="48">
        <f>SUM(E84:$E$122)</f>
        <v>9.1845052119781129E-3</v>
      </c>
      <c r="G84" s="48">
        <f t="shared" si="6"/>
        <v>6.720543342968722</v>
      </c>
      <c r="H84" s="6">
        <f t="shared" si="7"/>
        <v>47.930923330120095</v>
      </c>
      <c r="J84" s="73">
        <v>4.2141999999999999E-2</v>
      </c>
    </row>
    <row r="85" spans="1:10">
      <c r="A85" s="6">
        <v>82</v>
      </c>
      <c r="B85" s="73">
        <v>4.7336000000000003E-2</v>
      </c>
      <c r="C85" s="52">
        <f t="shared" si="8"/>
        <v>0.66723174994692669</v>
      </c>
      <c r="D85" s="52">
        <f t="shared" si="9"/>
        <v>1.8165696334843224E-3</v>
      </c>
      <c r="E85" s="52">
        <f t="shared" si="5"/>
        <v>1.2120729354501917E-3</v>
      </c>
      <c r="F85" s="48">
        <f>SUM(E85:$E$122)</f>
        <v>7.8178738634001321E-3</v>
      </c>
      <c r="G85" s="48">
        <f t="shared" si="6"/>
        <v>6.4500028296534762</v>
      </c>
      <c r="H85" s="6">
        <f t="shared" si="7"/>
        <v>54.042871904321622</v>
      </c>
      <c r="J85" s="73">
        <v>4.7336000000000003E-2</v>
      </c>
    </row>
    <row r="86" spans="1:10">
      <c r="A86" s="6">
        <v>83</v>
      </c>
      <c r="B86" s="73">
        <v>5.3241999999999998E-2</v>
      </c>
      <c r="C86" s="52">
        <f t="shared" si="8"/>
        <v>0.63564766783143889</v>
      </c>
      <c r="D86" s="52">
        <f t="shared" si="9"/>
        <v>1.6820089198928911E-3</v>
      </c>
      <c r="E86" s="52">
        <f t="shared" si="5"/>
        <v>1.0691650472015937E-3</v>
      </c>
      <c r="F86" s="48">
        <f>SUM(E86:$E$122)</f>
        <v>6.6058009279499419E-3</v>
      </c>
      <c r="G86" s="48">
        <f t="shared" si="6"/>
        <v>6.178466968444023</v>
      </c>
      <c r="H86" s="6">
        <f t="shared" si="7"/>
        <v>61.266408362935273</v>
      </c>
      <c r="J86" s="73">
        <v>5.3241999999999998E-2</v>
      </c>
    </row>
    <row r="87" spans="1:10">
      <c r="A87" s="6">
        <v>84</v>
      </c>
      <c r="B87" s="73">
        <v>5.9995E-2</v>
      </c>
      <c r="C87" s="52">
        <f t="shared" si="8"/>
        <v>0.60180451470075746</v>
      </c>
      <c r="D87" s="52">
        <f t="shared" si="9"/>
        <v>1.5574156665674919E-3</v>
      </c>
      <c r="E87" s="52">
        <f t="shared" si="5"/>
        <v>9.3725977940600617E-4</v>
      </c>
      <c r="F87" s="48">
        <f>SUM(E87:$E$122)</f>
        <v>5.5366358807483482E-3</v>
      </c>
      <c r="G87" s="48">
        <f t="shared" si="6"/>
        <v>5.907258587642823</v>
      </c>
      <c r="H87" s="6">
        <f t="shared" si="7"/>
        <v>69.888737176733741</v>
      </c>
      <c r="J87" s="73">
        <v>5.9995E-2</v>
      </c>
    </row>
    <row r="88" spans="1:10">
      <c r="A88" s="6">
        <v>85</v>
      </c>
      <c r="B88" s="73">
        <v>6.7626000000000006E-2</v>
      </c>
      <c r="C88" s="52">
        <f t="shared" si="8"/>
        <v>0.56569925284128553</v>
      </c>
      <c r="D88" s="52">
        <f t="shared" si="9"/>
        <v>1.4420515431180477E-3</v>
      </c>
      <c r="E88" s="52">
        <f t="shared" si="5"/>
        <v>8.1576748050050246E-4</v>
      </c>
      <c r="F88" s="48">
        <f>SUM(E88:$E$122)</f>
        <v>4.5993761013423421E-3</v>
      </c>
      <c r="G88" s="48">
        <f t="shared" si="6"/>
        <v>5.638096898052936</v>
      </c>
      <c r="H88" s="6">
        <f t="shared" si="7"/>
        <v>80.297270919699841</v>
      </c>
      <c r="J88" s="73">
        <v>6.7626000000000006E-2</v>
      </c>
    </row>
    <row r="89" spans="1:10">
      <c r="A89" s="6">
        <v>86</v>
      </c>
      <c r="B89" s="73">
        <v>7.6267000000000001E-2</v>
      </c>
      <c r="C89" s="52">
        <f t="shared" si="8"/>
        <v>0.52744327516864076</v>
      </c>
      <c r="D89" s="52">
        <f t="shared" si="9"/>
        <v>1.3352329102944884E-3</v>
      </c>
      <c r="E89" s="52">
        <f t="shared" si="5"/>
        <v>7.0425961931868091E-4</v>
      </c>
      <c r="F89" s="48">
        <f>SUM(E89:$E$122)</f>
        <v>3.7836086208418423E-3</v>
      </c>
      <c r="G89" s="48">
        <f t="shared" si="6"/>
        <v>5.3724628206032934</v>
      </c>
      <c r="H89" s="6">
        <f t="shared" si="7"/>
        <v>93.011015529471905</v>
      </c>
      <c r="J89" s="73">
        <v>7.6267000000000001E-2</v>
      </c>
    </row>
    <row r="90" spans="1:10">
      <c r="A90" s="6">
        <v>87</v>
      </c>
      <c r="B90" s="73">
        <v>8.6015999999999995E-2</v>
      </c>
      <c r="C90" s="52">
        <f t="shared" si="8"/>
        <v>0.48721675890135402</v>
      </c>
      <c r="D90" s="52">
        <f t="shared" si="9"/>
        <v>1.2363267687911929E-3</v>
      </c>
      <c r="E90" s="52">
        <f t="shared" si="5"/>
        <v>6.0235912123342869E-4</v>
      </c>
      <c r="F90" s="48">
        <f>SUM(E90:$E$122)</f>
        <v>3.0793490015231613E-3</v>
      </c>
      <c r="G90" s="48">
        <f t="shared" si="6"/>
        <v>5.1121480408857947</v>
      </c>
      <c r="H90" s="6">
        <f t="shared" si="7"/>
        <v>108.74559723624648</v>
      </c>
      <c r="J90" s="73">
        <v>8.6015999999999995E-2</v>
      </c>
    </row>
    <row r="91" spans="1:10">
      <c r="A91" s="6">
        <v>88</v>
      </c>
      <c r="B91" s="73">
        <v>9.6873000000000001E-2</v>
      </c>
      <c r="C91" s="52">
        <f t="shared" si="8"/>
        <v>0.44530832216769517</v>
      </c>
      <c r="D91" s="52">
        <f t="shared" si="9"/>
        <v>1.1447470081399934E-3</v>
      </c>
      <c r="E91" s="52">
        <f t="shared" si="5"/>
        <v>5.0976536950130935E-4</v>
      </c>
      <c r="F91" s="48">
        <f>SUM(E91:$E$122)</f>
        <v>2.4769898802897328E-3</v>
      </c>
      <c r="G91" s="48">
        <f t="shared" si="6"/>
        <v>4.8590783691581674</v>
      </c>
      <c r="H91" s="6">
        <f t="shared" si="7"/>
        <v>128.49814112188639</v>
      </c>
      <c r="J91" s="73">
        <v>9.6873000000000001E-2</v>
      </c>
    </row>
    <row r="92" spans="1:10">
      <c r="A92" s="6">
        <v>89</v>
      </c>
      <c r="B92" s="73">
        <v>0.108929</v>
      </c>
      <c r="C92" s="52">
        <f t="shared" si="8"/>
        <v>0.40216996907434405</v>
      </c>
      <c r="D92" s="52">
        <f t="shared" si="9"/>
        <v>1.0599509334629567E-3</v>
      </c>
      <c r="E92" s="52">
        <f t="shared" si="5"/>
        <v>4.2628043413111942E-4</v>
      </c>
      <c r="F92" s="48">
        <f>SUM(E92:$E$122)</f>
        <v>1.9672245107884238E-3</v>
      </c>
      <c r="G92" s="48">
        <f t="shared" si="6"/>
        <v>4.6148599684106681</v>
      </c>
      <c r="H92" s="6">
        <f t="shared" si="7"/>
        <v>153.66387275725043</v>
      </c>
      <c r="J92" s="73">
        <v>0.108929</v>
      </c>
    </row>
    <row r="93" spans="1:10">
      <c r="A93" s="6">
        <v>90</v>
      </c>
      <c r="B93" s="73">
        <v>0.12228600000000001</v>
      </c>
      <c r="C93" s="52">
        <f t="shared" si="8"/>
        <v>0.35836199651304479</v>
      </c>
      <c r="D93" s="52">
        <f t="shared" si="9"/>
        <v>9.8143604950273766E-4</v>
      </c>
      <c r="E93" s="52">
        <f t="shared" si="5"/>
        <v>3.517093821496765E-4</v>
      </c>
      <c r="F93" s="48">
        <f>SUM(E93:$E$122)</f>
        <v>1.5409440766573036E-3</v>
      </c>
      <c r="G93" s="48">
        <f t="shared" si="6"/>
        <v>4.381299319452121</v>
      </c>
      <c r="H93" s="6">
        <f t="shared" si="7"/>
        <v>186.24439868184521</v>
      </c>
      <c r="J93" s="73">
        <v>0.12228600000000001</v>
      </c>
    </row>
    <row r="94" spans="1:10">
      <c r="A94" s="6">
        <v>91</v>
      </c>
      <c r="B94" s="73">
        <v>0.136576</v>
      </c>
      <c r="C94" s="52">
        <f t="shared" si="8"/>
        <v>0.3145393414074506</v>
      </c>
      <c r="D94" s="52">
        <f t="shared" si="9"/>
        <v>9.0873708287290511E-4</v>
      </c>
      <c r="E94" s="52">
        <f t="shared" si="5"/>
        <v>2.8583356355937141E-4</v>
      </c>
      <c r="F94" s="48">
        <f>SUM(E94:$E$122)</f>
        <v>1.1892346945076274E-3</v>
      </c>
      <c r="G94" s="48">
        <f t="shared" si="6"/>
        <v>4.160584501339037</v>
      </c>
      <c r="H94" s="6">
        <f t="shared" si="7"/>
        <v>229.16798703950587</v>
      </c>
      <c r="J94" s="73">
        <v>0.136576</v>
      </c>
    </row>
    <row r="95" spans="1:10">
      <c r="A95" s="6">
        <v>92</v>
      </c>
      <c r="B95" s="73">
        <v>0.15146599999999999</v>
      </c>
      <c r="C95" s="52">
        <f t="shared" si="8"/>
        <v>0.27158081631538661</v>
      </c>
      <c r="D95" s="52">
        <f t="shared" si="9"/>
        <v>8.4142322488231969E-4</v>
      </c>
      <c r="E95" s="52">
        <f t="shared" si="5"/>
        <v>2.2851440628026551E-4</v>
      </c>
      <c r="F95" s="48">
        <f>SUM(E95:$E$122)</f>
        <v>9.0340113094825578E-4</v>
      </c>
      <c r="G95" s="48">
        <f t="shared" si="6"/>
        <v>3.953366204143224</v>
      </c>
      <c r="H95" s="6">
        <f t="shared" si="7"/>
        <v>286.65108452239718</v>
      </c>
      <c r="J95" s="73">
        <v>0.15146599999999999</v>
      </c>
    </row>
    <row r="96" spans="1:10">
      <c r="A96" s="6">
        <v>93</v>
      </c>
      <c r="B96" s="73">
        <v>0.16667899999999999</v>
      </c>
      <c r="C96" s="52">
        <f t="shared" si="8"/>
        <v>0.23044555639136027</v>
      </c>
      <c r="D96" s="52">
        <f t="shared" si="9"/>
        <v>7.790955785947402E-4</v>
      </c>
      <c r="E96" s="52">
        <f t="shared" si="5"/>
        <v>1.7953911409131367E-4</v>
      </c>
      <c r="F96" s="48">
        <f>SUM(E96:$E$122)</f>
        <v>6.748867246679903E-4</v>
      </c>
      <c r="G96" s="48">
        <f t="shared" si="6"/>
        <v>3.7589955151763901</v>
      </c>
      <c r="H96" s="6">
        <f t="shared" si="7"/>
        <v>364.84474550717954</v>
      </c>
      <c r="J96" s="73">
        <v>0.16667899999999999</v>
      </c>
    </row>
    <row r="97" spans="1:10">
      <c r="A97" s="6">
        <v>94</v>
      </c>
      <c r="B97" s="73">
        <v>0.18220800000000001</v>
      </c>
      <c r="C97" s="52">
        <f t="shared" si="8"/>
        <v>0.19203512149760474</v>
      </c>
      <c r="D97" s="52">
        <f t="shared" si="9"/>
        <v>7.2138479499512978E-4</v>
      </c>
      <c r="E97" s="52">
        <f t="shared" si="5"/>
        <v>1.3853121675341443E-4</v>
      </c>
      <c r="F97" s="48">
        <f>SUM(E97:$E$122)</f>
        <v>4.9534761057667661E-4</v>
      </c>
      <c r="G97" s="48">
        <f t="shared" si="6"/>
        <v>3.5757111081930031</v>
      </c>
      <c r="H97" s="6">
        <f t="shared" si="7"/>
        <v>472.84578829497144</v>
      </c>
      <c r="J97" s="73">
        <v>0.18220800000000001</v>
      </c>
    </row>
    <row r="98" spans="1:10">
      <c r="A98" s="6">
        <v>95</v>
      </c>
      <c r="B98" s="73">
        <v>0.19790099999999999</v>
      </c>
      <c r="C98" s="52">
        <f t="shared" si="8"/>
        <v>0.15704478607976916</v>
      </c>
      <c r="D98" s="52">
        <f t="shared" si="9"/>
        <v>6.6794888425474963E-4</v>
      </c>
      <c r="E98" s="52">
        <f t="shared" si="5"/>
        <v>1.0489788964000764E-4</v>
      </c>
      <c r="F98" s="48">
        <f>SUM(E98:$E$122)</f>
        <v>3.5681639382326212E-4</v>
      </c>
      <c r="G98" s="48">
        <f t="shared" si="6"/>
        <v>3.4015593168537279</v>
      </c>
      <c r="H98" s="6">
        <f t="shared" si="7"/>
        <v>624.45395816854329</v>
      </c>
      <c r="J98" s="73">
        <v>0.19790099999999999</v>
      </c>
    </row>
    <row r="99" spans="1:10">
      <c r="A99" s="6">
        <v>96</v>
      </c>
      <c r="B99" s="73">
        <v>0.21584500000000001</v>
      </c>
      <c r="C99" s="52">
        <f t="shared" si="8"/>
        <v>0.12596546586979676</v>
      </c>
      <c r="D99" s="52">
        <f t="shared" si="9"/>
        <v>6.1847118912476825E-4</v>
      </c>
      <c r="E99" s="52">
        <f t="shared" si="5"/>
        <v>7.790601146514861E-5</v>
      </c>
      <c r="F99" s="48">
        <f>SUM(E99:$E$122)</f>
        <v>2.5191850418325451E-4</v>
      </c>
      <c r="G99" s="48">
        <f t="shared" si="6"/>
        <v>3.2336208650079676</v>
      </c>
      <c r="H99" s="6">
        <f t="shared" si="7"/>
        <v>840.80677674704327</v>
      </c>
      <c r="J99" s="73">
        <v>0.21584500000000001</v>
      </c>
    </row>
    <row r="100" spans="1:10">
      <c r="A100" s="6">
        <v>97</v>
      </c>
      <c r="B100" s="73">
        <v>0.23441699999999999</v>
      </c>
      <c r="C100" s="52">
        <f t="shared" si="8"/>
        <v>9.8776449889130466E-2</v>
      </c>
      <c r="D100" s="52">
        <f t="shared" si="9"/>
        <v>5.7265850844885949E-4</v>
      </c>
      <c r="E100" s="52">
        <f t="shared" si="5"/>
        <v>5.6565174463382968E-5</v>
      </c>
      <c r="F100" s="48">
        <f>SUM(E100:$E$122)</f>
        <v>1.7401249271810584E-4</v>
      </c>
      <c r="G100" s="48">
        <f t="shared" si="6"/>
        <v>3.0763185010726257</v>
      </c>
      <c r="H100" s="6">
        <f t="shared" si="7"/>
        <v>1158.0252869481249</v>
      </c>
      <c r="J100" s="73">
        <v>0.23441699999999999</v>
      </c>
    </row>
    <row r="101" spans="1:10">
      <c r="A101" s="6">
        <v>98</v>
      </c>
      <c r="B101" s="73">
        <v>0.25376700000000002</v>
      </c>
      <c r="C101" s="52">
        <f t="shared" si="8"/>
        <v>7.5621570835470164E-2</v>
      </c>
      <c r="D101" s="52">
        <f t="shared" si="9"/>
        <v>5.3023935967486981E-4</v>
      </c>
      <c r="E101" s="52">
        <f t="shared" si="5"/>
        <v>4.0097533297407509E-5</v>
      </c>
      <c r="F101" s="48">
        <f>SUM(E101:$E$122)</f>
        <v>1.1744731825472294E-4</v>
      </c>
      <c r="G101" s="48">
        <f t="shared" si="6"/>
        <v>2.9290409807407394</v>
      </c>
      <c r="H101" s="6">
        <f t="shared" si="7"/>
        <v>1633.6142650816112</v>
      </c>
      <c r="J101" s="73">
        <v>0.25376700000000002</v>
      </c>
    </row>
    <row r="102" spans="1:10">
      <c r="A102" s="6">
        <v>99</v>
      </c>
      <c r="B102" s="73">
        <v>0.27375300000000002</v>
      </c>
      <c r="C102" s="52">
        <f t="shared" si="8"/>
        <v>5.6431311669265405E-2</v>
      </c>
      <c r="D102" s="52">
        <f t="shared" si="9"/>
        <v>4.9096237006932388E-4</v>
      </c>
      <c r="E102" s="52">
        <f t="shared" si="5"/>
        <v>2.7705650523263237E-5</v>
      </c>
      <c r="F102" s="48">
        <f>SUM(E102:$E$122)</f>
        <v>7.7349784957315409E-5</v>
      </c>
      <c r="G102" s="48">
        <f t="shared" si="6"/>
        <v>2.7918415015149396</v>
      </c>
      <c r="H102" s="6">
        <f t="shared" si="7"/>
        <v>2364.2795297020371</v>
      </c>
      <c r="J102" s="73">
        <v>0.27375300000000002</v>
      </c>
    </row>
    <row r="103" spans="1:10">
      <c r="A103" s="6">
        <v>100</v>
      </c>
      <c r="B103" s="73">
        <v>0.29430899999999999</v>
      </c>
      <c r="C103" s="52">
        <f t="shared" si="8"/>
        <v>4.0983070805868993E-2</v>
      </c>
      <c r="D103" s="52">
        <f t="shared" si="9"/>
        <v>4.5459478710122578E-4</v>
      </c>
      <c r="E103" s="52">
        <f t="shared" si="5"/>
        <v>1.8630690347748476E-5</v>
      </c>
      <c r="F103" s="48">
        <f>SUM(E103:$E$122)</f>
        <v>4.9644134434052175E-5</v>
      </c>
      <c r="G103" s="48">
        <f t="shared" si="6"/>
        <v>2.6646427753039053</v>
      </c>
      <c r="H103" s="6">
        <f t="shared" si="7"/>
        <v>3515.913858615871</v>
      </c>
      <c r="J103" s="73">
        <v>0.29430899999999999</v>
      </c>
    </row>
    <row r="104" spans="1:10">
      <c r="A104" s="6">
        <v>101</v>
      </c>
      <c r="B104" s="73">
        <v>0.31517400000000001</v>
      </c>
      <c r="C104" s="52">
        <f t="shared" si="8"/>
        <v>2.8921384220064499E-2</v>
      </c>
      <c r="D104" s="52">
        <f t="shared" si="9"/>
        <v>4.2092109916780151E-4</v>
      </c>
      <c r="E104" s="52">
        <f t="shared" si="5"/>
        <v>1.2173620835363858E-5</v>
      </c>
      <c r="F104" s="48">
        <f>SUM(E104:$E$122)</f>
        <v>3.1013444086303696E-5</v>
      </c>
      <c r="G104" s="48">
        <f t="shared" si="6"/>
        <v>2.5475940565037924</v>
      </c>
      <c r="H104" s="6">
        <f t="shared" si="7"/>
        <v>5380.8068507394046</v>
      </c>
      <c r="J104" s="73">
        <v>0.31517400000000001</v>
      </c>
    </row>
    <row r="105" spans="1:10">
      <c r="A105" s="6">
        <v>102</v>
      </c>
      <c r="B105" s="73">
        <v>0.33602100000000001</v>
      </c>
      <c r="C105" s="52">
        <f t="shared" si="8"/>
        <v>1.9806115869889888E-2</v>
      </c>
      <c r="D105" s="52">
        <f t="shared" si="9"/>
        <v>3.8974175848870509E-4</v>
      </c>
      <c r="E105" s="52">
        <f t="shared" si="5"/>
        <v>7.7192704279619333E-6</v>
      </c>
      <c r="F105" s="48">
        <f>SUM(E105:$E$122)</f>
        <v>1.8839823250939824E-5</v>
      </c>
      <c r="G105" s="48">
        <f t="shared" si="6"/>
        <v>2.4406222617483779</v>
      </c>
      <c r="H105" s="6">
        <f t="shared" si="7"/>
        <v>8485.7633892383728</v>
      </c>
      <c r="J105" s="73">
        <v>0.33602100000000001</v>
      </c>
    </row>
    <row r="106" spans="1:10">
      <c r="A106" s="6">
        <v>103</v>
      </c>
      <c r="B106" s="73">
        <v>0.35676099999999999</v>
      </c>
      <c r="C106" s="52">
        <f t="shared" si="8"/>
        <v>1.3150845009173618E-2</v>
      </c>
      <c r="D106" s="52">
        <f t="shared" si="9"/>
        <v>3.6087199860065282E-4</v>
      </c>
      <c r="E106" s="52">
        <f t="shared" si="5"/>
        <v>4.7457717217479036E-6</v>
      </c>
      <c r="F106" s="48">
        <f>SUM(E106:$E$122)</f>
        <v>1.1120552822977898E-5</v>
      </c>
      <c r="G106" s="48">
        <f t="shared" si="6"/>
        <v>2.3432548961461874</v>
      </c>
      <c r="H106" s="6">
        <f t="shared" si="7"/>
        <v>13802.581799089196</v>
      </c>
      <c r="J106" s="73">
        <v>0.35676099999999999</v>
      </c>
    </row>
    <row r="107" spans="1:10">
      <c r="A107" s="6">
        <v>104</v>
      </c>
      <c r="B107" s="73">
        <v>0.37702000000000002</v>
      </c>
      <c r="C107" s="52">
        <f t="shared" si="8"/>
        <v>8.4591363928558285E-3</v>
      </c>
      <c r="D107" s="52">
        <f t="shared" si="9"/>
        <v>3.3414073944504894E-4</v>
      </c>
      <c r="E107" s="52">
        <f t="shared" si="5"/>
        <v>2.8265420893753708E-6</v>
      </c>
      <c r="F107" s="48">
        <f>SUM(E107:$E$122)</f>
        <v>6.3747811012299926E-6</v>
      </c>
      <c r="G107" s="48">
        <f t="shared" si="6"/>
        <v>2.25532856036074</v>
      </c>
      <c r="H107" s="6">
        <f t="shared" si="7"/>
        <v>23174.571726864084</v>
      </c>
      <c r="J107" s="73">
        <v>0.37702000000000002</v>
      </c>
    </row>
    <row r="108" spans="1:10">
      <c r="A108" s="6">
        <v>105</v>
      </c>
      <c r="B108" s="73">
        <v>0.39656400000000003</v>
      </c>
      <c r="C108" s="52">
        <f t="shared" si="8"/>
        <v>5.2698727900213236E-3</v>
      </c>
      <c r="D108" s="52">
        <f t="shared" si="9"/>
        <v>3.0938957356023043E-4</v>
      </c>
      <c r="E108" s="52">
        <f t="shared" si="5"/>
        <v>1.630443695221359E-6</v>
      </c>
      <c r="F108" s="48">
        <f>SUM(E108:$E$122)</f>
        <v>3.5482390118546231E-6</v>
      </c>
      <c r="G108" s="48">
        <f t="shared" si="6"/>
        <v>2.1762413643930785</v>
      </c>
      <c r="H108" s="6">
        <f t="shared" si="7"/>
        <v>40175.50718323738</v>
      </c>
      <c r="J108" s="73">
        <v>0.39656400000000003</v>
      </c>
    </row>
    <row r="109" spans="1:10">
      <c r="A109" s="6">
        <v>106</v>
      </c>
      <c r="B109" s="73">
        <v>0.41551199999999999</v>
      </c>
      <c r="C109" s="52">
        <f t="shared" si="8"/>
        <v>3.1800309569193072E-3</v>
      </c>
      <c r="D109" s="52">
        <f t="shared" si="9"/>
        <v>2.8647182737058372E-4</v>
      </c>
      <c r="E109" s="52">
        <f t="shared" si="5"/>
        <v>9.109892793236999E-7</v>
      </c>
      <c r="F109" s="48">
        <f>SUM(E109:$E$122)</f>
        <v>1.9177953166332635E-6</v>
      </c>
      <c r="G109" s="48">
        <f t="shared" si="6"/>
        <v>2.1051787986539163</v>
      </c>
      <c r="H109" s="6">
        <f t="shared" si="7"/>
        <v>71904.141877343034</v>
      </c>
      <c r="J109" s="73">
        <v>0.41551199999999999</v>
      </c>
    </row>
    <row r="110" spans="1:10">
      <c r="A110" s="6">
        <v>107</v>
      </c>
      <c r="B110" s="73">
        <v>0.43345</v>
      </c>
      <c r="C110" s="52">
        <f t="shared" si="8"/>
        <v>1.858689933947852E-3</v>
      </c>
      <c r="D110" s="52">
        <f t="shared" si="9"/>
        <v>2.6525169200979971E-4</v>
      </c>
      <c r="E110" s="52">
        <f t="shared" si="5"/>
        <v>4.930206499012506E-7</v>
      </c>
      <c r="F110" s="48">
        <f>SUM(E110:$E$122)</f>
        <v>1.006806037309563E-6</v>
      </c>
      <c r="G110" s="48">
        <f t="shared" si="6"/>
        <v>2.0421173788789999</v>
      </c>
      <c r="H110" s="6">
        <f t="shared" si="7"/>
        <v>132862.39106282848</v>
      </c>
      <c r="J110" s="73">
        <v>0.43345</v>
      </c>
    </row>
    <row r="111" spans="1:10">
      <c r="A111" s="6">
        <v>108</v>
      </c>
      <c r="B111" s="73">
        <v>0.45044099999999998</v>
      </c>
      <c r="C111" s="52">
        <f t="shared" si="8"/>
        <v>1.0530407820781556E-3</v>
      </c>
      <c r="D111" s="52">
        <f t="shared" si="9"/>
        <v>2.4560341852759236E-4</v>
      </c>
      <c r="E111" s="52">
        <f t="shared" si="5"/>
        <v>2.5863041592736444E-7</v>
      </c>
      <c r="F111" s="48">
        <f>SUM(E111:$E$122)</f>
        <v>5.1378538740831297E-7</v>
      </c>
      <c r="G111" s="48">
        <f t="shared" si="6"/>
        <v>1.9865621201823687</v>
      </c>
      <c r="H111" s="6">
        <f t="shared" si="7"/>
        <v>253272.23077902166</v>
      </c>
      <c r="J111" s="73">
        <v>0.45044099999999998</v>
      </c>
    </row>
    <row r="112" spans="1:10">
      <c r="A112" s="6">
        <v>109</v>
      </c>
      <c r="B112" s="73">
        <v>0.46648899999999999</v>
      </c>
      <c r="C112" s="52">
        <f t="shared" si="8"/>
        <v>5.7870803915808914E-4</v>
      </c>
      <c r="D112" s="52">
        <f t="shared" si="9"/>
        <v>2.2741057271073357E-4</v>
      </c>
      <c r="E112" s="52">
        <f t="shared" si="5"/>
        <v>1.3160432661724668E-7</v>
      </c>
      <c r="F112" s="48">
        <f>SUM(E112:$E$122)</f>
        <v>2.5515497148094847E-7</v>
      </c>
      <c r="G112" s="48">
        <f t="shared" si="6"/>
        <v>1.9388038223320123</v>
      </c>
      <c r="H112" s="6">
        <f t="shared" si="7"/>
        <v>497733.6541505889</v>
      </c>
      <c r="J112" s="73">
        <v>0.46648899999999999</v>
      </c>
    </row>
    <row r="113" spans="1:10">
      <c r="A113" s="6">
        <v>110</v>
      </c>
      <c r="B113" s="73">
        <v>0.48150399999999999</v>
      </c>
      <c r="C113" s="52">
        <f t="shared" si="8"/>
        <v>3.0874710467927133E-4</v>
      </c>
      <c r="D113" s="52">
        <f t="shared" si="9"/>
        <v>2.1056534510253109E-4</v>
      </c>
      <c r="E113" s="52">
        <f t="shared" si="5"/>
        <v>6.5011440646198054E-8</v>
      </c>
      <c r="F113" s="48">
        <f>SUM(E113:$E$122)</f>
        <v>1.2355064486370173E-7</v>
      </c>
      <c r="G113" s="48">
        <f t="shared" si="6"/>
        <v>1.9004446545967617</v>
      </c>
      <c r="H113" s="6">
        <f t="shared" si="7"/>
        <v>1007575.0012326569</v>
      </c>
      <c r="J113" s="73">
        <v>0.48150399999999999</v>
      </c>
    </row>
    <row r="114" spans="1:10">
      <c r="A114" s="6">
        <v>111</v>
      </c>
      <c r="B114" s="73">
        <v>0.49156</v>
      </c>
      <c r="C114" s="52">
        <f t="shared" si="8"/>
        <v>1.6008413878778349E-4</v>
      </c>
      <c r="D114" s="52">
        <f t="shared" si="9"/>
        <v>1.9496791213197322E-4</v>
      </c>
      <c r="E114" s="52">
        <f t="shared" si="5"/>
        <v>3.1211270304899178E-8</v>
      </c>
      <c r="F114" s="48">
        <f>SUM(E114:$E$122)</f>
        <v>5.8539204217503719E-8</v>
      </c>
      <c r="G114" s="48">
        <f t="shared" si="6"/>
        <v>1.8755790342924594</v>
      </c>
      <c r="H114" s="6">
        <f t="shared" si="7"/>
        <v>2098725.9329508217</v>
      </c>
      <c r="J114" s="73">
        <v>0.49156</v>
      </c>
    </row>
    <row r="115" spans="1:10">
      <c r="A115" s="6">
        <v>112</v>
      </c>
      <c r="B115" s="73">
        <v>0.498309</v>
      </c>
      <c r="C115" s="52">
        <f t="shared" si="8"/>
        <v>8.1393179525260636E-5</v>
      </c>
      <c r="D115" s="52">
        <f t="shared" si="9"/>
        <v>1.8052584456664187E-4</v>
      </c>
      <c r="E115" s="52">
        <f t="shared" si="5"/>
        <v>1.4693572475761979E-8</v>
      </c>
      <c r="F115" s="48">
        <f>SUM(E115:$E$122)</f>
        <v>2.732793391260454E-8</v>
      </c>
      <c r="G115" s="48">
        <f t="shared" si="6"/>
        <v>1.8598563390682408</v>
      </c>
      <c r="H115" s="6">
        <f t="shared" si="7"/>
        <v>4457997.0253852718</v>
      </c>
      <c r="J115" s="73">
        <v>0.498309</v>
      </c>
    </row>
    <row r="116" spans="1:10">
      <c r="A116" s="6">
        <v>113</v>
      </c>
      <c r="B116" s="73">
        <v>0.50123099999999998</v>
      </c>
      <c r="C116" s="52">
        <f t="shared" si="8"/>
        <v>4.0834225629207533E-5</v>
      </c>
      <c r="D116" s="52">
        <f t="shared" si="9"/>
        <v>1.6715355978392762E-4</v>
      </c>
      <c r="E116" s="52">
        <f t="shared" si="5"/>
        <v>6.8255861749421307E-9</v>
      </c>
      <c r="F116" s="48">
        <f>SUM(E116:$E$122)</f>
        <v>1.2634361436842554E-8</v>
      </c>
      <c r="G116" s="48">
        <f t="shared" si="6"/>
        <v>1.8510295105826089</v>
      </c>
      <c r="H116" s="6">
        <f t="shared" si="7"/>
        <v>9596817.1392671876</v>
      </c>
      <c r="J116" s="73">
        <v>0.50123099999999998</v>
      </c>
    </row>
    <row r="117" spans="1:10">
      <c r="A117" s="6">
        <v>114</v>
      </c>
      <c r="B117" s="73">
        <v>0.50057700000000005</v>
      </c>
      <c r="C117" s="52">
        <f t="shared" si="8"/>
        <v>2.0366845882854214E-5</v>
      </c>
      <c r="D117" s="52">
        <f t="shared" si="9"/>
        <v>1.5477181461474778E-4</v>
      </c>
      <c r="E117" s="52">
        <f t="shared" si="5"/>
        <v>3.1522136952682516E-9</v>
      </c>
      <c r="F117" s="48">
        <f>SUM(E117:$E$122)</f>
        <v>5.8087752619004237E-9</v>
      </c>
      <c r="G117" s="48">
        <f t="shared" si="6"/>
        <v>1.8427606195036534</v>
      </c>
      <c r="H117" s="6">
        <f t="shared" si="7"/>
        <v>20780286.085158784</v>
      </c>
      <c r="J117" s="73">
        <v>0.50057700000000005</v>
      </c>
    </row>
    <row r="118" spans="1:10">
      <c r="A118" s="6">
        <v>115</v>
      </c>
      <c r="B118" s="73">
        <v>0.5</v>
      </c>
      <c r="C118" s="52">
        <f t="shared" si="8"/>
        <v>1.0171671271352699E-5</v>
      </c>
      <c r="D118" s="52">
        <f t="shared" si="9"/>
        <v>1.4330723575439608E-4</v>
      </c>
      <c r="E118" s="52">
        <f t="shared" si="5"/>
        <v>1.457674092899959E-9</v>
      </c>
      <c r="F118" s="48">
        <f>SUM(E118:$E$122)</f>
        <v>2.6565615666321725E-9</v>
      </c>
      <c r="G118" s="48">
        <f t="shared" si="6"/>
        <v>1.8224660639657084</v>
      </c>
      <c r="H118" s="6">
        <f t="shared" si="7"/>
        <v>44937275.559939153</v>
      </c>
      <c r="J118" s="73">
        <v>0.5</v>
      </c>
    </row>
    <row r="119" spans="1:10">
      <c r="A119" s="6">
        <v>116</v>
      </c>
      <c r="B119" s="73">
        <v>0.5</v>
      </c>
      <c r="C119" s="52">
        <f t="shared" si="8"/>
        <v>5.0858356356763493E-6</v>
      </c>
      <c r="D119" s="52">
        <f t="shared" si="9"/>
        <v>1.3269188495777416E-4</v>
      </c>
      <c r="E119" s="52">
        <f t="shared" si="5"/>
        <v>6.7484911708331433E-10</v>
      </c>
      <c r="F119" s="48">
        <f>SUM(E119:$E$122)</f>
        <v>1.1988874737322134E-9</v>
      </c>
      <c r="G119" s="48">
        <f t="shared" si="6"/>
        <v>1.7765266981659298</v>
      </c>
      <c r="H119" s="6">
        <f t="shared" si="7"/>
        <v>97064515.209468573</v>
      </c>
      <c r="J119" s="73">
        <v>0.5</v>
      </c>
    </row>
    <row r="120" spans="1:10">
      <c r="A120" s="6">
        <v>117</v>
      </c>
      <c r="B120" s="73">
        <v>0.5</v>
      </c>
      <c r="C120" s="52">
        <f t="shared" si="8"/>
        <v>2.5429178178381747E-6</v>
      </c>
      <c r="D120" s="52">
        <f t="shared" si="9"/>
        <v>1.2286285644238346E-4</v>
      </c>
      <c r="E120" s="52">
        <f t="shared" si="5"/>
        <v>3.1243014679783069E-10</v>
      </c>
      <c r="F120" s="48">
        <f>SUM(E120:$E$122)</f>
        <v>5.2403835664889914E-10</v>
      </c>
      <c r="G120" s="48">
        <f t="shared" si="6"/>
        <v>1.6772976680384089</v>
      </c>
      <c r="H120" s="6">
        <f t="shared" si="7"/>
        <v>209659352.85245213</v>
      </c>
      <c r="J120" s="73">
        <v>0.5</v>
      </c>
    </row>
    <row r="121" spans="1:10">
      <c r="A121" s="6">
        <v>118</v>
      </c>
      <c r="B121" s="73">
        <v>0.5</v>
      </c>
      <c r="C121" s="52">
        <f t="shared" si="8"/>
        <v>1.2714589089190873E-6</v>
      </c>
      <c r="D121" s="52">
        <f t="shared" si="9"/>
        <v>1.1376190411331801E-4</v>
      </c>
      <c r="E121" s="52">
        <f t="shared" si="5"/>
        <v>1.4464358648047716E-10</v>
      </c>
      <c r="F121" s="48">
        <f>SUM(E121:$E$122)</f>
        <v>2.116082098510684E-10</v>
      </c>
      <c r="G121" s="48">
        <f t="shared" si="6"/>
        <v>1.4629629629629628</v>
      </c>
      <c r="H121" s="6">
        <f t="shared" si="7"/>
        <v>452864202.16129667</v>
      </c>
      <c r="J121" s="73">
        <v>0.5</v>
      </c>
    </row>
    <row r="122" spans="1:10">
      <c r="A122" s="6">
        <v>119</v>
      </c>
      <c r="B122" s="73">
        <v>0.5</v>
      </c>
      <c r="C122" s="52">
        <f t="shared" si="8"/>
        <v>6.3572945445954366E-7</v>
      </c>
      <c r="D122" s="52">
        <f t="shared" si="9"/>
        <v>1.0533509640122036E-4</v>
      </c>
      <c r="E122" s="52">
        <f t="shared" si="5"/>
        <v>6.6964623370591255E-11</v>
      </c>
      <c r="F122" s="48">
        <f>SUM(E122:$E$122)</f>
        <v>6.6964623370591255E-11</v>
      </c>
      <c r="G122" s="48">
        <f t="shared" si="6"/>
        <v>1</v>
      </c>
      <c r="H122" s="6">
        <f t="shared" si="7"/>
        <v>978186676.66840112</v>
      </c>
      <c r="J122" s="73">
        <v>0.5</v>
      </c>
    </row>
    <row r="123" spans="1:10">
      <c r="A123" s="6">
        <v>120</v>
      </c>
      <c r="B123" s="73">
        <v>1</v>
      </c>
      <c r="C123" s="52">
        <f t="shared" si="8"/>
        <v>3.1786472722977183E-7</v>
      </c>
      <c r="D123" s="52">
        <f t="shared" si="9"/>
        <v>9.7532496667796626E-5</v>
      </c>
      <c r="E123" s="52">
        <f t="shared" si="5"/>
        <v>3.1002140449347803E-11</v>
      </c>
      <c r="F123" s="48">
        <f>SUM(E$122:$E123)</f>
        <v>9.7966763819939058E-11</v>
      </c>
      <c r="G123" s="48">
        <f t="shared" si="6"/>
        <v>3.16</v>
      </c>
      <c r="H123" s="6">
        <f t="shared" si="7"/>
        <v>2112883221.6037464</v>
      </c>
      <c r="J123" s="73">
        <v>1</v>
      </c>
    </row>
  </sheetData>
  <mergeCells count="1">
    <mergeCell ref="M1:R1"/>
  </mergeCells>
  <pageMargins left="0.75" right="0.75" top="1" bottom="1" header="0.5" footer="0.5"/>
  <pageSetup orientation="portrait" horizontalDpi="4294967293" verticalDpi="4294967293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S52"/>
  <sheetViews>
    <sheetView topLeftCell="B1" workbookViewId="0">
      <selection activeCell="I2" sqref="I2"/>
    </sheetView>
  </sheetViews>
  <sheetFormatPr defaultRowHeight="15"/>
  <cols>
    <col min="1" max="1" width="12.7109375" customWidth="1"/>
    <col min="2" max="2" width="23.5703125" customWidth="1"/>
    <col min="3" max="5" width="12.7109375" customWidth="1"/>
    <col min="8" max="8" width="10.5703125" customWidth="1"/>
    <col min="12" max="12" width="14.7109375" customWidth="1"/>
    <col min="15" max="15" width="9.7109375" customWidth="1"/>
  </cols>
  <sheetData>
    <row r="1" spans="1:19" s="8" customFormat="1" ht="18" customHeight="1" thickBot="1">
      <c r="A1" s="8" t="s">
        <v>12</v>
      </c>
      <c r="B1" s="8" t="s">
        <v>59</v>
      </c>
      <c r="C1" s="8" t="s">
        <v>37</v>
      </c>
      <c r="D1" s="65" t="s">
        <v>39</v>
      </c>
      <c r="E1" s="8" t="s">
        <v>38</v>
      </c>
      <c r="G1" s="8" t="s">
        <v>40</v>
      </c>
      <c r="H1" s="8" t="s">
        <v>41</v>
      </c>
      <c r="I1" s="8" t="s">
        <v>42</v>
      </c>
      <c r="J1" s="8" t="s">
        <v>43</v>
      </c>
      <c r="K1" s="8" t="s">
        <v>44</v>
      </c>
      <c r="L1" s="8" t="s">
        <v>45</v>
      </c>
      <c r="O1" s="8" t="s">
        <v>40</v>
      </c>
      <c r="P1" s="8" t="s">
        <v>41</v>
      </c>
      <c r="Q1" s="8" t="s">
        <v>42</v>
      </c>
      <c r="S1" s="8" t="s">
        <v>45</v>
      </c>
    </row>
    <row r="2" spans="1:19" ht="18" customHeight="1" thickBot="1">
      <c r="A2" s="56">
        <v>2008</v>
      </c>
      <c r="B2" s="57" t="s">
        <v>30</v>
      </c>
      <c r="C2" s="58">
        <v>4.9200000000000001E-2</v>
      </c>
      <c r="D2" s="58">
        <v>6.0199999999999997E-2</v>
      </c>
      <c r="E2" s="58">
        <v>6.4699999999999994E-2</v>
      </c>
      <c r="G2">
        <v>1</v>
      </c>
      <c r="H2">
        <v>0</v>
      </c>
      <c r="I2" s="90">
        <f>C11</f>
        <v>1.7899999999999999E-2</v>
      </c>
      <c r="J2" s="42">
        <f>NPV(I2,G2:G6)</f>
        <v>4.7423254364159373</v>
      </c>
      <c r="L2" s="66">
        <f>RATE(50,1,-K7)</f>
        <v>4.297586050130723E-2</v>
      </c>
      <c r="O2">
        <v>1</v>
      </c>
      <c r="P2">
        <v>0</v>
      </c>
      <c r="Q2">
        <f t="shared" ref="Q2:Q21" si="0">$S$2</f>
        <v>4.1513255277423437E-2</v>
      </c>
      <c r="S2" s="67">
        <v>4.1513255277423437E-2</v>
      </c>
    </row>
    <row r="3" spans="1:19" ht="18" customHeight="1" thickTop="1" thickBot="1">
      <c r="A3" s="59">
        <v>2009</v>
      </c>
      <c r="B3" s="60" t="s">
        <v>31</v>
      </c>
      <c r="C3" s="61">
        <v>7.1099999999999997E-2</v>
      </c>
      <c r="D3" s="71">
        <v>8.2299999999999998E-2</v>
      </c>
      <c r="E3" s="61">
        <v>7.4200000000000002E-2</v>
      </c>
      <c r="G3">
        <v>1</v>
      </c>
      <c r="H3">
        <f>H2+1</f>
        <v>1</v>
      </c>
      <c r="I3" s="90">
        <f>I2</f>
        <v>1.7899999999999999E-2</v>
      </c>
      <c r="L3" t="s">
        <v>60</v>
      </c>
      <c r="O3">
        <v>1</v>
      </c>
      <c r="P3">
        <f>P2+1</f>
        <v>1</v>
      </c>
      <c r="Q3">
        <f t="shared" si="0"/>
        <v>4.1513255277423437E-2</v>
      </c>
      <c r="S3" t="s">
        <v>61</v>
      </c>
    </row>
    <row r="4" spans="1:19" ht="18" customHeight="1" thickBot="1">
      <c r="A4" s="62">
        <v>2010</v>
      </c>
      <c r="B4" s="63" t="s">
        <v>32</v>
      </c>
      <c r="C4" s="64">
        <v>2.35E-2</v>
      </c>
      <c r="D4" s="64">
        <v>5.57E-2</v>
      </c>
      <c r="E4" s="64">
        <v>6.2899999999999998E-2</v>
      </c>
      <c r="G4">
        <v>1</v>
      </c>
      <c r="H4">
        <f t="shared" ref="H4:H52" si="1">H3+1</f>
        <v>2</v>
      </c>
      <c r="I4" s="90">
        <f t="shared" ref="I4:I6" si="2">I3</f>
        <v>1.7899999999999999E-2</v>
      </c>
      <c r="O4">
        <v>1</v>
      </c>
      <c r="P4">
        <f t="shared" ref="P4:P21" si="3">P3+1</f>
        <v>2</v>
      </c>
      <c r="Q4">
        <f t="shared" si="0"/>
        <v>4.1513255277423437E-2</v>
      </c>
    </row>
    <row r="5" spans="1:19" ht="18" customHeight="1" thickBot="1">
      <c r="A5" s="62">
        <v>2011</v>
      </c>
      <c r="B5" s="63" t="s">
        <v>33</v>
      </c>
      <c r="C5" s="64">
        <v>1.6500000000000001E-2</v>
      </c>
      <c r="D5" s="64">
        <v>4.9099999999999998E-2</v>
      </c>
      <c r="E5" s="64">
        <v>6.5199999999999994E-2</v>
      </c>
      <c r="G5">
        <v>1</v>
      </c>
      <c r="H5">
        <f t="shared" si="1"/>
        <v>3</v>
      </c>
      <c r="I5" s="90">
        <f t="shared" si="2"/>
        <v>1.7899999999999999E-2</v>
      </c>
      <c r="O5">
        <v>1</v>
      </c>
      <c r="P5">
        <f t="shared" si="3"/>
        <v>3</v>
      </c>
      <c r="Q5">
        <f t="shared" si="0"/>
        <v>4.1513255277423437E-2</v>
      </c>
    </row>
    <row r="6" spans="1:19" ht="18" customHeight="1" thickBot="1">
      <c r="A6" s="62">
        <v>2012</v>
      </c>
      <c r="B6" s="63" t="s">
        <v>34</v>
      </c>
      <c r="C6" s="64">
        <v>1.9900000000000001E-2</v>
      </c>
      <c r="D6" s="64">
        <v>4.4699999999999997E-2</v>
      </c>
      <c r="E6" s="64">
        <v>5.2600000000000001E-2</v>
      </c>
      <c r="G6">
        <v>1</v>
      </c>
      <c r="H6">
        <f t="shared" si="1"/>
        <v>4</v>
      </c>
      <c r="I6" s="90">
        <f t="shared" si="2"/>
        <v>1.7899999999999999E-2</v>
      </c>
      <c r="O6">
        <v>1</v>
      </c>
      <c r="P6">
        <f t="shared" si="3"/>
        <v>4</v>
      </c>
      <c r="Q6">
        <f t="shared" si="0"/>
        <v>4.1513255277423437E-2</v>
      </c>
      <c r="S6" s="2" t="s">
        <v>43</v>
      </c>
    </row>
    <row r="7" spans="1:19" ht="18" customHeight="1" thickBot="1">
      <c r="A7" s="62">
        <v>2013</v>
      </c>
      <c r="B7" s="63" t="s">
        <v>35</v>
      </c>
      <c r="C7" s="64">
        <v>9.7000000000000003E-3</v>
      </c>
      <c r="D7" s="64">
        <v>3.5000000000000003E-2</v>
      </c>
      <c r="E7" s="64">
        <v>4.5999999999999999E-2</v>
      </c>
      <c r="G7">
        <v>1</v>
      </c>
      <c r="H7">
        <f t="shared" si="1"/>
        <v>5</v>
      </c>
      <c r="I7" s="90">
        <f>D11</f>
        <v>3.7999999999999999E-2</v>
      </c>
      <c r="J7" s="43">
        <f>NPV(I7,G7:G21)*(1/(1+I7))^5</f>
        <v>9.3572701400638678</v>
      </c>
      <c r="K7" s="41">
        <f>J7+J2+J22</f>
        <v>20.430548768261936</v>
      </c>
      <c r="O7">
        <v>1</v>
      </c>
      <c r="P7">
        <f t="shared" si="3"/>
        <v>5</v>
      </c>
      <c r="Q7">
        <f t="shared" si="0"/>
        <v>4.1513255277423437E-2</v>
      </c>
      <c r="S7" s="41">
        <f>NPV(S2,O2:O21)</f>
        <v>13.410021193792252</v>
      </c>
    </row>
    <row r="8" spans="1:19" ht="18" customHeight="1" thickBot="1">
      <c r="A8" s="62">
        <v>2014</v>
      </c>
      <c r="B8" s="63" t="s">
        <v>36</v>
      </c>
      <c r="C8" s="70">
        <v>1.1900000000000001E-2</v>
      </c>
      <c r="D8" s="68">
        <v>4.53E-2</v>
      </c>
      <c r="E8" s="68">
        <v>5.6599999999999998E-2</v>
      </c>
      <c r="G8">
        <v>1</v>
      </c>
      <c r="H8">
        <f t="shared" si="1"/>
        <v>6</v>
      </c>
      <c r="I8" s="90">
        <f>I7</f>
        <v>3.7999999999999999E-2</v>
      </c>
      <c r="O8">
        <v>1</v>
      </c>
      <c r="P8">
        <f t="shared" si="3"/>
        <v>6</v>
      </c>
      <c r="Q8">
        <f t="shared" si="0"/>
        <v>4.1513255277423437E-2</v>
      </c>
    </row>
    <row r="9" spans="1:19" ht="18" customHeight="1" thickBot="1">
      <c r="A9" s="62">
        <v>2015</v>
      </c>
      <c r="B9" s="63" t="s">
        <v>55</v>
      </c>
      <c r="C9" s="69">
        <v>1.4E-2</v>
      </c>
      <c r="D9" s="64">
        <v>3.8800000000000001E-2</v>
      </c>
      <c r="E9" s="64">
        <v>4.9599999999999998E-2</v>
      </c>
      <c r="G9">
        <v>1</v>
      </c>
      <c r="H9">
        <f t="shared" si="1"/>
        <v>7</v>
      </c>
      <c r="I9" s="90">
        <f t="shared" ref="I9:I21" si="4">I8</f>
        <v>3.7999999999999999E-2</v>
      </c>
      <c r="O9">
        <v>1</v>
      </c>
      <c r="P9">
        <f t="shared" si="3"/>
        <v>7</v>
      </c>
      <c r="Q9">
        <f t="shared" si="0"/>
        <v>4.1513255277423437E-2</v>
      </c>
    </row>
    <row r="10" spans="1:19" ht="18" customHeight="1" thickBot="1">
      <c r="A10" s="62">
        <v>2016</v>
      </c>
      <c r="B10" s="63" t="s">
        <v>56</v>
      </c>
      <c r="C10" s="69">
        <v>1.7600000000000001E-2</v>
      </c>
      <c r="D10" s="64">
        <v>4.1500000000000002E-2</v>
      </c>
      <c r="E10" s="64">
        <v>5.1299999999999998E-2</v>
      </c>
      <c r="G10">
        <v>1</v>
      </c>
      <c r="H10">
        <f t="shared" si="1"/>
        <v>8</v>
      </c>
      <c r="I10" s="90">
        <f t="shared" si="4"/>
        <v>3.7999999999999999E-2</v>
      </c>
      <c r="O10">
        <v>1</v>
      </c>
      <c r="P10">
        <f t="shared" si="3"/>
        <v>8</v>
      </c>
      <c r="Q10">
        <f t="shared" si="0"/>
        <v>4.1513255277423437E-2</v>
      </c>
    </row>
    <row r="11" spans="1:19" ht="18" customHeight="1" thickBot="1">
      <c r="A11" s="62">
        <v>2017</v>
      </c>
      <c r="B11" s="63" t="s">
        <v>57</v>
      </c>
      <c r="C11" s="69">
        <v>1.7899999999999999E-2</v>
      </c>
      <c r="D11" s="64">
        <v>3.7999999999999999E-2</v>
      </c>
      <c r="E11" s="64">
        <v>4.7100000000000003E-2</v>
      </c>
      <c r="G11">
        <v>1</v>
      </c>
      <c r="H11">
        <f t="shared" si="1"/>
        <v>9</v>
      </c>
      <c r="I11" s="90">
        <f t="shared" si="4"/>
        <v>3.7999999999999999E-2</v>
      </c>
      <c r="O11">
        <v>1</v>
      </c>
      <c r="P11">
        <f t="shared" si="3"/>
        <v>9</v>
      </c>
      <c r="Q11">
        <f t="shared" si="0"/>
        <v>4.1513255277423437E-2</v>
      </c>
    </row>
    <row r="12" spans="1:19" ht="18" customHeight="1" thickBot="1">
      <c r="A12" s="62">
        <v>2018</v>
      </c>
      <c r="B12" s="63" t="s">
        <v>58</v>
      </c>
      <c r="C12" s="69"/>
      <c r="D12" s="64"/>
      <c r="E12" s="64"/>
      <c r="G12">
        <v>1</v>
      </c>
      <c r="H12">
        <f t="shared" si="1"/>
        <v>10</v>
      </c>
      <c r="I12" s="90">
        <f t="shared" si="4"/>
        <v>3.7999999999999999E-2</v>
      </c>
      <c r="O12">
        <v>1</v>
      </c>
      <c r="P12">
        <f t="shared" si="3"/>
        <v>10</v>
      </c>
      <c r="Q12">
        <f t="shared" si="0"/>
        <v>4.1513255277423437E-2</v>
      </c>
    </row>
    <row r="13" spans="1:19" ht="18" customHeight="1">
      <c r="G13">
        <v>1</v>
      </c>
      <c r="H13">
        <f t="shared" si="1"/>
        <v>11</v>
      </c>
      <c r="I13" s="90">
        <f t="shared" si="4"/>
        <v>3.7999999999999999E-2</v>
      </c>
      <c r="O13">
        <v>1</v>
      </c>
      <c r="P13">
        <f t="shared" si="3"/>
        <v>11</v>
      </c>
      <c r="Q13">
        <f t="shared" si="0"/>
        <v>4.1513255277423437E-2</v>
      </c>
    </row>
    <row r="14" spans="1:19" ht="18" customHeight="1">
      <c r="G14">
        <v>1</v>
      </c>
      <c r="H14">
        <f t="shared" si="1"/>
        <v>12</v>
      </c>
      <c r="I14" s="90">
        <f t="shared" si="4"/>
        <v>3.7999999999999999E-2</v>
      </c>
      <c r="O14">
        <v>1</v>
      </c>
      <c r="P14">
        <f t="shared" si="3"/>
        <v>12</v>
      </c>
      <c r="Q14">
        <f t="shared" si="0"/>
        <v>4.1513255277423437E-2</v>
      </c>
    </row>
    <row r="15" spans="1:19" ht="18" customHeight="1">
      <c r="G15">
        <v>1</v>
      </c>
      <c r="H15">
        <f t="shared" si="1"/>
        <v>13</v>
      </c>
      <c r="I15" s="90">
        <f t="shared" si="4"/>
        <v>3.7999999999999999E-2</v>
      </c>
      <c r="O15">
        <v>1</v>
      </c>
      <c r="P15">
        <f t="shared" si="3"/>
        <v>13</v>
      </c>
      <c r="Q15">
        <f t="shared" si="0"/>
        <v>4.1513255277423437E-2</v>
      </c>
    </row>
    <row r="16" spans="1:19" ht="18" customHeight="1">
      <c r="G16">
        <v>1</v>
      </c>
      <c r="H16">
        <f t="shared" si="1"/>
        <v>14</v>
      </c>
      <c r="I16" s="90">
        <f t="shared" si="4"/>
        <v>3.7999999999999999E-2</v>
      </c>
      <c r="O16">
        <v>1</v>
      </c>
      <c r="P16">
        <f t="shared" si="3"/>
        <v>14</v>
      </c>
      <c r="Q16">
        <f t="shared" si="0"/>
        <v>4.1513255277423437E-2</v>
      </c>
    </row>
    <row r="17" spans="7:17" ht="18" customHeight="1">
      <c r="G17">
        <v>1</v>
      </c>
      <c r="H17">
        <f t="shared" si="1"/>
        <v>15</v>
      </c>
      <c r="I17" s="90">
        <f t="shared" si="4"/>
        <v>3.7999999999999999E-2</v>
      </c>
      <c r="O17">
        <v>1</v>
      </c>
      <c r="P17">
        <f t="shared" si="3"/>
        <v>15</v>
      </c>
      <c r="Q17">
        <f t="shared" si="0"/>
        <v>4.1513255277423437E-2</v>
      </c>
    </row>
    <row r="18" spans="7:17" ht="18" customHeight="1">
      <c r="G18">
        <v>1</v>
      </c>
      <c r="H18">
        <f t="shared" si="1"/>
        <v>16</v>
      </c>
      <c r="I18" s="90">
        <f t="shared" si="4"/>
        <v>3.7999999999999999E-2</v>
      </c>
      <c r="O18">
        <v>1</v>
      </c>
      <c r="P18">
        <f t="shared" si="3"/>
        <v>16</v>
      </c>
      <c r="Q18">
        <f t="shared" si="0"/>
        <v>4.1513255277423437E-2</v>
      </c>
    </row>
    <row r="19" spans="7:17" ht="18" customHeight="1">
      <c r="G19">
        <v>1</v>
      </c>
      <c r="H19">
        <f t="shared" si="1"/>
        <v>17</v>
      </c>
      <c r="I19" s="90">
        <f t="shared" si="4"/>
        <v>3.7999999999999999E-2</v>
      </c>
      <c r="O19">
        <v>1</v>
      </c>
      <c r="P19">
        <f t="shared" si="3"/>
        <v>17</v>
      </c>
      <c r="Q19">
        <f t="shared" si="0"/>
        <v>4.1513255277423437E-2</v>
      </c>
    </row>
    <row r="20" spans="7:17" ht="18" customHeight="1">
      <c r="G20">
        <v>1</v>
      </c>
      <c r="H20">
        <f t="shared" si="1"/>
        <v>18</v>
      </c>
      <c r="I20" s="90">
        <f t="shared" si="4"/>
        <v>3.7999999999999999E-2</v>
      </c>
      <c r="O20">
        <v>1</v>
      </c>
      <c r="P20">
        <f t="shared" si="3"/>
        <v>18</v>
      </c>
      <c r="Q20">
        <f t="shared" si="0"/>
        <v>4.1513255277423437E-2</v>
      </c>
    </row>
    <row r="21" spans="7:17" ht="18" customHeight="1">
      <c r="G21">
        <v>1</v>
      </c>
      <c r="H21">
        <f t="shared" si="1"/>
        <v>19</v>
      </c>
      <c r="I21" s="90">
        <f t="shared" si="4"/>
        <v>3.7999999999999999E-2</v>
      </c>
      <c r="O21">
        <v>1</v>
      </c>
      <c r="P21">
        <f t="shared" si="3"/>
        <v>19</v>
      </c>
      <c r="Q21">
        <f t="shared" si="0"/>
        <v>4.1513255277423437E-2</v>
      </c>
    </row>
    <row r="22" spans="7:17" ht="18" customHeight="1">
      <c r="G22">
        <v>1</v>
      </c>
      <c r="H22">
        <f t="shared" si="1"/>
        <v>20</v>
      </c>
      <c r="I22" s="90">
        <f>E11</f>
        <v>4.7100000000000003E-2</v>
      </c>
      <c r="J22" s="43">
        <f>NPV(I22,G22:G51)*(1/(1+I22))^20</f>
        <v>6.3309531917821298</v>
      </c>
    </row>
    <row r="23" spans="7:17" ht="18" customHeight="1">
      <c r="G23">
        <v>1</v>
      </c>
      <c r="H23">
        <f t="shared" si="1"/>
        <v>21</v>
      </c>
      <c r="I23" s="90">
        <f>I22</f>
        <v>4.7100000000000003E-2</v>
      </c>
    </row>
    <row r="24" spans="7:17" ht="18" customHeight="1">
      <c r="G24">
        <v>1</v>
      </c>
      <c r="H24">
        <f t="shared" si="1"/>
        <v>22</v>
      </c>
      <c r="I24" s="90">
        <f t="shared" ref="I24:I52" si="5">I23</f>
        <v>4.7100000000000003E-2</v>
      </c>
    </row>
    <row r="25" spans="7:17" ht="18" customHeight="1">
      <c r="G25">
        <v>1</v>
      </c>
      <c r="H25">
        <f t="shared" si="1"/>
        <v>23</v>
      </c>
      <c r="I25" s="90">
        <f t="shared" si="5"/>
        <v>4.7100000000000003E-2</v>
      </c>
    </row>
    <row r="26" spans="7:17" ht="18" customHeight="1">
      <c r="G26">
        <v>1</v>
      </c>
      <c r="H26">
        <f t="shared" si="1"/>
        <v>24</v>
      </c>
      <c r="I26" s="90">
        <f t="shared" si="5"/>
        <v>4.7100000000000003E-2</v>
      </c>
    </row>
    <row r="27" spans="7:17" ht="18" customHeight="1">
      <c r="G27">
        <v>1</v>
      </c>
      <c r="H27">
        <f t="shared" si="1"/>
        <v>25</v>
      </c>
      <c r="I27" s="90">
        <f t="shared" si="5"/>
        <v>4.7100000000000003E-2</v>
      </c>
    </row>
    <row r="28" spans="7:17">
      <c r="G28">
        <v>1</v>
      </c>
      <c r="H28">
        <f t="shared" si="1"/>
        <v>26</v>
      </c>
      <c r="I28" s="90">
        <f t="shared" si="5"/>
        <v>4.7100000000000003E-2</v>
      </c>
    </row>
    <row r="29" spans="7:17">
      <c r="G29">
        <v>1</v>
      </c>
      <c r="H29">
        <f t="shared" si="1"/>
        <v>27</v>
      </c>
      <c r="I29" s="90">
        <f t="shared" si="5"/>
        <v>4.7100000000000003E-2</v>
      </c>
    </row>
    <row r="30" spans="7:17">
      <c r="G30">
        <v>1</v>
      </c>
      <c r="H30">
        <f t="shared" si="1"/>
        <v>28</v>
      </c>
      <c r="I30" s="90">
        <f t="shared" si="5"/>
        <v>4.7100000000000003E-2</v>
      </c>
    </row>
    <row r="31" spans="7:17">
      <c r="G31">
        <v>1</v>
      </c>
      <c r="H31">
        <f t="shared" si="1"/>
        <v>29</v>
      </c>
      <c r="I31" s="90">
        <f t="shared" si="5"/>
        <v>4.7100000000000003E-2</v>
      </c>
    </row>
    <row r="32" spans="7:17">
      <c r="G32">
        <v>1</v>
      </c>
      <c r="H32">
        <f t="shared" si="1"/>
        <v>30</v>
      </c>
      <c r="I32" s="90">
        <f t="shared" si="5"/>
        <v>4.7100000000000003E-2</v>
      </c>
    </row>
    <row r="33" spans="7:9">
      <c r="G33">
        <v>1</v>
      </c>
      <c r="H33">
        <f t="shared" si="1"/>
        <v>31</v>
      </c>
      <c r="I33" s="90">
        <f t="shared" si="5"/>
        <v>4.7100000000000003E-2</v>
      </c>
    </row>
    <row r="34" spans="7:9">
      <c r="G34">
        <v>1</v>
      </c>
      <c r="H34">
        <f t="shared" si="1"/>
        <v>32</v>
      </c>
      <c r="I34" s="90">
        <f t="shared" si="5"/>
        <v>4.7100000000000003E-2</v>
      </c>
    </row>
    <row r="35" spans="7:9">
      <c r="G35">
        <v>1</v>
      </c>
      <c r="H35">
        <f t="shared" si="1"/>
        <v>33</v>
      </c>
      <c r="I35" s="90">
        <f t="shared" si="5"/>
        <v>4.7100000000000003E-2</v>
      </c>
    </row>
    <row r="36" spans="7:9">
      <c r="G36">
        <v>1</v>
      </c>
      <c r="H36">
        <f t="shared" si="1"/>
        <v>34</v>
      </c>
      <c r="I36" s="90">
        <f t="shared" si="5"/>
        <v>4.7100000000000003E-2</v>
      </c>
    </row>
    <row r="37" spans="7:9">
      <c r="G37">
        <v>1</v>
      </c>
      <c r="H37">
        <f t="shared" si="1"/>
        <v>35</v>
      </c>
      <c r="I37" s="90">
        <f t="shared" si="5"/>
        <v>4.7100000000000003E-2</v>
      </c>
    </row>
    <row r="38" spans="7:9">
      <c r="G38">
        <v>1</v>
      </c>
      <c r="H38">
        <f t="shared" si="1"/>
        <v>36</v>
      </c>
      <c r="I38" s="90">
        <f t="shared" si="5"/>
        <v>4.7100000000000003E-2</v>
      </c>
    </row>
    <row r="39" spans="7:9">
      <c r="G39">
        <v>1</v>
      </c>
      <c r="H39">
        <f t="shared" si="1"/>
        <v>37</v>
      </c>
      <c r="I39" s="90">
        <f t="shared" si="5"/>
        <v>4.7100000000000003E-2</v>
      </c>
    </row>
    <row r="40" spans="7:9">
      <c r="G40">
        <v>1</v>
      </c>
      <c r="H40">
        <f t="shared" si="1"/>
        <v>38</v>
      </c>
      <c r="I40" s="90">
        <f t="shared" si="5"/>
        <v>4.7100000000000003E-2</v>
      </c>
    </row>
    <row r="41" spans="7:9">
      <c r="G41">
        <v>1</v>
      </c>
      <c r="H41">
        <f t="shared" si="1"/>
        <v>39</v>
      </c>
      <c r="I41" s="90">
        <f t="shared" si="5"/>
        <v>4.7100000000000003E-2</v>
      </c>
    </row>
    <row r="42" spans="7:9">
      <c r="G42">
        <v>1</v>
      </c>
      <c r="H42">
        <f t="shared" si="1"/>
        <v>40</v>
      </c>
      <c r="I42" s="90">
        <f t="shared" si="5"/>
        <v>4.7100000000000003E-2</v>
      </c>
    </row>
    <row r="43" spans="7:9">
      <c r="G43">
        <v>1</v>
      </c>
      <c r="H43">
        <f t="shared" si="1"/>
        <v>41</v>
      </c>
      <c r="I43" s="90">
        <f t="shared" si="5"/>
        <v>4.7100000000000003E-2</v>
      </c>
    </row>
    <row r="44" spans="7:9">
      <c r="G44">
        <v>1</v>
      </c>
      <c r="H44">
        <f t="shared" si="1"/>
        <v>42</v>
      </c>
      <c r="I44" s="90">
        <f t="shared" si="5"/>
        <v>4.7100000000000003E-2</v>
      </c>
    </row>
    <row r="45" spans="7:9">
      <c r="G45">
        <v>1</v>
      </c>
      <c r="H45">
        <f t="shared" si="1"/>
        <v>43</v>
      </c>
      <c r="I45" s="90">
        <f t="shared" si="5"/>
        <v>4.7100000000000003E-2</v>
      </c>
    </row>
    <row r="46" spans="7:9">
      <c r="G46">
        <v>1</v>
      </c>
      <c r="H46">
        <f t="shared" si="1"/>
        <v>44</v>
      </c>
      <c r="I46" s="90">
        <f t="shared" si="5"/>
        <v>4.7100000000000003E-2</v>
      </c>
    </row>
    <row r="47" spans="7:9">
      <c r="G47">
        <v>1</v>
      </c>
      <c r="H47">
        <f t="shared" si="1"/>
        <v>45</v>
      </c>
      <c r="I47" s="90">
        <f t="shared" si="5"/>
        <v>4.7100000000000003E-2</v>
      </c>
    </row>
    <row r="48" spans="7:9">
      <c r="G48">
        <v>1</v>
      </c>
      <c r="H48">
        <f t="shared" si="1"/>
        <v>46</v>
      </c>
      <c r="I48" s="90">
        <f t="shared" si="5"/>
        <v>4.7100000000000003E-2</v>
      </c>
    </row>
    <row r="49" spans="7:9">
      <c r="G49">
        <v>1</v>
      </c>
      <c r="H49">
        <f t="shared" si="1"/>
        <v>47</v>
      </c>
      <c r="I49" s="90">
        <f t="shared" si="5"/>
        <v>4.7100000000000003E-2</v>
      </c>
    </row>
    <row r="50" spans="7:9">
      <c r="G50">
        <v>1</v>
      </c>
      <c r="H50">
        <f t="shared" si="1"/>
        <v>48</v>
      </c>
      <c r="I50" s="90">
        <f t="shared" si="5"/>
        <v>4.7100000000000003E-2</v>
      </c>
    </row>
    <row r="51" spans="7:9">
      <c r="G51">
        <v>1</v>
      </c>
      <c r="H51">
        <f t="shared" si="1"/>
        <v>49</v>
      </c>
      <c r="I51" s="90">
        <f t="shared" si="5"/>
        <v>4.7100000000000003E-2</v>
      </c>
    </row>
    <row r="52" spans="7:9">
      <c r="G52">
        <v>1</v>
      </c>
      <c r="H52">
        <f t="shared" si="1"/>
        <v>50</v>
      </c>
      <c r="I52" s="90">
        <f t="shared" si="5"/>
        <v>4.7100000000000003E-2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X1058"/>
  <sheetViews>
    <sheetView topLeftCell="G1" workbookViewId="0">
      <selection activeCell="M2" sqref="M2"/>
    </sheetView>
  </sheetViews>
  <sheetFormatPr defaultRowHeight="15"/>
  <cols>
    <col min="1" max="1" width="10.42578125" bestFit="1" customWidth="1"/>
    <col min="9" max="9" width="14.28515625" bestFit="1" customWidth="1"/>
    <col min="11" max="11" width="10.28515625" bestFit="1" customWidth="1"/>
    <col min="14" max="14" width="12.28515625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5" bestFit="1" customWidth="1"/>
    <col min="19" max="20" width="13.7109375" bestFit="1" customWidth="1"/>
    <col min="22" max="22" width="13.7109375" bestFit="1" customWidth="1"/>
  </cols>
  <sheetData>
    <row r="1" spans="1:19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88</v>
      </c>
      <c r="H1" s="93" t="s">
        <v>13</v>
      </c>
      <c r="I1" s="93" t="s">
        <v>89</v>
      </c>
      <c r="J1" s="93">
        <v>0.09</v>
      </c>
      <c r="L1" t="s">
        <v>3</v>
      </c>
      <c r="M1" t="s">
        <v>2</v>
      </c>
      <c r="N1" t="s">
        <v>89</v>
      </c>
      <c r="O1" t="s">
        <v>13</v>
      </c>
      <c r="P1" t="s">
        <v>92</v>
      </c>
      <c r="Q1" t="s">
        <v>91</v>
      </c>
      <c r="S1" s="96" t="s">
        <v>102</v>
      </c>
    </row>
    <row r="2" spans="1:19">
      <c r="A2" s="91">
        <v>18264</v>
      </c>
      <c r="B2">
        <v>16.66</v>
      </c>
      <c r="C2">
        <v>17.09</v>
      </c>
      <c r="D2">
        <v>16.649999999999999</v>
      </c>
      <c r="E2">
        <v>17.049999</v>
      </c>
      <c r="F2">
        <v>17.049999</v>
      </c>
      <c r="G2">
        <v>42570000</v>
      </c>
      <c r="H2" s="93"/>
      <c r="I2" s="93" t="s">
        <v>90</v>
      </c>
      <c r="J2" s="93">
        <v>0.03</v>
      </c>
      <c r="L2">
        <v>25</v>
      </c>
      <c r="M2">
        <f t="shared" ref="M2:M30" si="0">M3/(1+$J$2)</f>
        <v>41198.675951590631</v>
      </c>
      <c r="N2">
        <f>M2*$J$1</f>
        <v>3707.8808356431564</v>
      </c>
      <c r="O2">
        <f ca="1">INDEX($I$14:$I$823,RANDBETWEEN(1,810))</f>
        <v>1.1202302640295878</v>
      </c>
      <c r="P2">
        <f ca="1">PRODUCT(O2:$O$52)</f>
        <v>128.68878966525634</v>
      </c>
      <c r="Q2">
        <f ca="1">N2*P2</f>
        <v>477162.69696191704</v>
      </c>
      <c r="S2" s="96"/>
    </row>
    <row r="3" spans="1:19">
      <c r="A3" s="91">
        <v>18295</v>
      </c>
      <c r="B3">
        <v>17.049999</v>
      </c>
      <c r="C3">
        <v>17.350000000000001</v>
      </c>
      <c r="D3">
        <v>16.989999999999998</v>
      </c>
      <c r="E3">
        <v>17.219999000000001</v>
      </c>
      <c r="F3">
        <v>17.219999000000001</v>
      </c>
      <c r="G3">
        <v>33430000</v>
      </c>
      <c r="H3" s="93">
        <f>B3/B2</f>
        <v>1.0234093037214886</v>
      </c>
      <c r="I3" s="93"/>
      <c r="J3" s="93"/>
      <c r="L3">
        <v>26</v>
      </c>
      <c r="M3">
        <f t="shared" si="0"/>
        <v>42434.636230138349</v>
      </c>
      <c r="N3">
        <f t="shared" ref="N3:N51" si="1">M3*$J$1</f>
        <v>3819.1172607124513</v>
      </c>
      <c r="O3">
        <f t="shared" ref="O3:O51" ca="1" si="2">INDEX($I$14:$I$823,RANDBETWEEN(1,810))</f>
        <v>1.3090797072842393</v>
      </c>
      <c r="P3">
        <f ca="1">PRODUCT(O3:$O$52)</f>
        <v>114.87708714666306</v>
      </c>
      <c r="Q3">
        <f t="shared" ref="Q3:Q51" ca="1" si="3">N3*P3</f>
        <v>438729.06638218934</v>
      </c>
      <c r="S3" s="96"/>
    </row>
    <row r="4" spans="1:19">
      <c r="A4" s="91">
        <v>18323</v>
      </c>
      <c r="B4">
        <v>17.239999999999998</v>
      </c>
      <c r="C4">
        <v>17.610001</v>
      </c>
      <c r="D4">
        <v>17.07</v>
      </c>
      <c r="E4">
        <v>17.290001</v>
      </c>
      <c r="F4">
        <v>17.290001</v>
      </c>
      <c r="G4">
        <v>40410000</v>
      </c>
      <c r="H4" s="93">
        <f t="shared" ref="H4:H67" si="4">B4/B3</f>
        <v>1.0111437543192816</v>
      </c>
      <c r="I4" s="93"/>
      <c r="J4" s="93"/>
      <c r="L4">
        <v>27</v>
      </c>
      <c r="M4">
        <f t="shared" si="0"/>
        <v>43707.6753170425</v>
      </c>
      <c r="N4">
        <f t="shared" si="1"/>
        <v>3933.6907785338249</v>
      </c>
      <c r="O4">
        <f t="shared" ca="1" si="2"/>
        <v>1.3549720069299291</v>
      </c>
      <c r="P4">
        <f ca="1">PRODUCT(O4:$O$52)</f>
        <v>87.754081365283852</v>
      </c>
      <c r="Q4">
        <f t="shared" ca="1" si="3"/>
        <v>345197.42064532405</v>
      </c>
      <c r="S4" s="96"/>
    </row>
    <row r="5" spans="1:19">
      <c r="A5" s="91">
        <v>18354</v>
      </c>
      <c r="B5">
        <v>17.34</v>
      </c>
      <c r="C5">
        <v>18.07</v>
      </c>
      <c r="D5">
        <v>17.34</v>
      </c>
      <c r="E5">
        <v>18.07</v>
      </c>
      <c r="F5">
        <v>18.07</v>
      </c>
      <c r="G5">
        <v>48250000</v>
      </c>
      <c r="H5" s="93">
        <f t="shared" si="4"/>
        <v>1.005800464037123</v>
      </c>
      <c r="I5" s="93"/>
      <c r="J5" s="93"/>
      <c r="L5">
        <v>28</v>
      </c>
      <c r="M5">
        <f t="shared" si="0"/>
        <v>45018.905576553778</v>
      </c>
      <c r="N5">
        <f t="shared" si="1"/>
        <v>4051.7015018898401</v>
      </c>
      <c r="O5">
        <f t="shared" ca="1" si="2"/>
        <v>1.1163170749217419</v>
      </c>
      <c r="P5">
        <f ca="1">PRODUCT(O5:$O$52)</f>
        <v>64.764497654911295</v>
      </c>
      <c r="Q5">
        <f t="shared" ca="1" si="3"/>
        <v>262406.4124175451</v>
      </c>
      <c r="S5" s="96"/>
    </row>
    <row r="6" spans="1:19">
      <c r="A6" s="91">
        <v>18384</v>
      </c>
      <c r="B6">
        <v>18.219999000000001</v>
      </c>
      <c r="C6">
        <v>18.780000999999999</v>
      </c>
      <c r="D6">
        <v>18.110001</v>
      </c>
      <c r="E6">
        <v>18.780000999999999</v>
      </c>
      <c r="F6">
        <v>18.780000999999999</v>
      </c>
      <c r="G6">
        <v>45080000</v>
      </c>
      <c r="H6" s="93">
        <f t="shared" si="4"/>
        <v>1.0507496539792389</v>
      </c>
      <c r="I6" s="93"/>
      <c r="J6" s="93"/>
      <c r="L6">
        <v>29</v>
      </c>
      <c r="M6">
        <f t="shared" si="0"/>
        <v>46369.472743850391</v>
      </c>
      <c r="N6">
        <f t="shared" si="1"/>
        <v>4173.2525469465354</v>
      </c>
      <c r="O6">
        <f t="shared" ca="1" si="2"/>
        <v>0.98304451395630077</v>
      </c>
      <c r="P6">
        <f ca="1">PRODUCT(O6:$O$52)</f>
        <v>58.016220579132082</v>
      </c>
      <c r="Q6">
        <f t="shared" ca="1" si="3"/>
        <v>242116.34029607495</v>
      </c>
      <c r="S6" s="96"/>
    </row>
    <row r="7" spans="1:19">
      <c r="A7" s="91">
        <v>18415</v>
      </c>
      <c r="B7">
        <v>18.77</v>
      </c>
      <c r="C7">
        <v>19.399999999999999</v>
      </c>
      <c r="D7">
        <v>17.440000999999999</v>
      </c>
      <c r="E7">
        <v>17.690000999999999</v>
      </c>
      <c r="F7">
        <v>17.690000999999999</v>
      </c>
      <c r="G7">
        <v>45660000</v>
      </c>
      <c r="H7" s="93">
        <f t="shared" si="4"/>
        <v>1.0301866646644711</v>
      </c>
      <c r="I7" s="93"/>
      <c r="J7" s="93"/>
      <c r="L7">
        <v>30</v>
      </c>
      <c r="M7">
        <f t="shared" si="0"/>
        <v>47760.556926165904</v>
      </c>
      <c r="N7">
        <f t="shared" si="1"/>
        <v>4298.4501233549308</v>
      </c>
      <c r="O7">
        <f t="shared" ca="1" si="2"/>
        <v>1.2135267130427385</v>
      </c>
      <c r="P7">
        <f ca="1">PRODUCT(O7:$O$52)</f>
        <v>59.016880472323201</v>
      </c>
      <c r="Q7">
        <f t="shared" ca="1" si="3"/>
        <v>253681.11714628089</v>
      </c>
      <c r="S7" s="96"/>
    </row>
    <row r="8" spans="1:19">
      <c r="A8" s="91">
        <v>18445</v>
      </c>
      <c r="B8">
        <v>17.639999</v>
      </c>
      <c r="C8">
        <v>17.91</v>
      </c>
      <c r="D8">
        <v>16.68</v>
      </c>
      <c r="E8">
        <v>17.84</v>
      </c>
      <c r="F8">
        <v>17.84</v>
      </c>
      <c r="G8">
        <v>44570000</v>
      </c>
      <c r="H8" s="93">
        <f t="shared" si="4"/>
        <v>0.9397974960042621</v>
      </c>
      <c r="L8">
        <v>31</v>
      </c>
      <c r="M8">
        <f t="shared" si="0"/>
        <v>49193.373633950883</v>
      </c>
      <c r="N8">
        <f t="shared" si="1"/>
        <v>4427.4036270555789</v>
      </c>
      <c r="O8">
        <f t="shared" ca="1" si="2"/>
        <v>1.2026366606894561</v>
      </c>
      <c r="P8">
        <f ca="1">PRODUCT(O8:$O$52)</f>
        <v>48.632535104519548</v>
      </c>
      <c r="Q8">
        <f t="shared" ca="1" si="3"/>
        <v>215315.8623146576</v>
      </c>
      <c r="S8" s="96"/>
    </row>
    <row r="9" spans="1:19">
      <c r="A9" s="91">
        <v>18476</v>
      </c>
      <c r="B9">
        <v>18.02</v>
      </c>
      <c r="C9">
        <v>18.82</v>
      </c>
      <c r="D9">
        <v>17.950001</v>
      </c>
      <c r="E9">
        <v>18.420000000000002</v>
      </c>
      <c r="F9">
        <v>18.420000000000002</v>
      </c>
      <c r="G9">
        <v>38900000</v>
      </c>
      <c r="H9" s="93">
        <f t="shared" si="4"/>
        <v>1.0215420080239233</v>
      </c>
      <c r="L9">
        <v>32</v>
      </c>
      <c r="M9">
        <f t="shared" si="0"/>
        <v>50669.174842969413</v>
      </c>
      <c r="N9">
        <f t="shared" si="1"/>
        <v>4560.2257358672468</v>
      </c>
      <c r="O9">
        <f t="shared" ca="1" si="2"/>
        <v>1.2749753282634848</v>
      </c>
      <c r="P9">
        <f ca="1">PRODUCT(O9:$O$52)</f>
        <v>40.438260942951111</v>
      </c>
      <c r="Q9">
        <f t="shared" ca="1" si="3"/>
        <v>184407.59826576099</v>
      </c>
      <c r="S9" s="96"/>
    </row>
    <row r="10" spans="1:19">
      <c r="A10" s="91">
        <v>18507</v>
      </c>
      <c r="B10">
        <v>18.549999</v>
      </c>
      <c r="C10">
        <v>19.450001</v>
      </c>
      <c r="D10">
        <v>18.540001</v>
      </c>
      <c r="E10">
        <v>19.450001</v>
      </c>
      <c r="F10">
        <v>19.450001</v>
      </c>
      <c r="G10">
        <v>38590000</v>
      </c>
      <c r="H10" s="93">
        <f t="shared" si="4"/>
        <v>1.0294117092119868</v>
      </c>
      <c r="L10">
        <v>33</v>
      </c>
      <c r="M10">
        <f t="shared" si="0"/>
        <v>52189.250088258494</v>
      </c>
      <c r="N10">
        <f t="shared" si="1"/>
        <v>4697.0325079432641</v>
      </c>
      <c r="O10">
        <f t="shared" ca="1" si="2"/>
        <v>0.88400673463055168</v>
      </c>
      <c r="P10">
        <f ca="1">PRODUCT(O10:$O$52)</f>
        <v>31.716896826566803</v>
      </c>
      <c r="Q10">
        <f t="shared" ca="1" si="3"/>
        <v>148975.29544546682</v>
      </c>
      <c r="S10" s="96"/>
    </row>
    <row r="11" spans="1:19">
      <c r="A11" s="91">
        <v>18537</v>
      </c>
      <c r="B11">
        <v>19.690000999999999</v>
      </c>
      <c r="C11">
        <v>20.16</v>
      </c>
      <c r="D11">
        <v>19.530000999999999</v>
      </c>
      <c r="E11">
        <v>19.530000999999999</v>
      </c>
      <c r="F11">
        <v>19.530000999999999</v>
      </c>
      <c r="G11">
        <v>48360000</v>
      </c>
      <c r="H11" s="93">
        <f t="shared" si="4"/>
        <v>1.061455636736153</v>
      </c>
      <c r="L11">
        <v>34</v>
      </c>
      <c r="M11">
        <f t="shared" si="0"/>
        <v>53754.927590906249</v>
      </c>
      <c r="N11">
        <f t="shared" si="1"/>
        <v>4837.9434831815624</v>
      </c>
      <c r="O11">
        <f t="shared" ca="1" si="2"/>
        <v>1.220552546351257</v>
      </c>
      <c r="P11">
        <f ca="1">PRODUCT(O11:$O$52)</f>
        <v>35.87856922812027</v>
      </c>
      <c r="Q11">
        <f t="shared" ca="1" si="3"/>
        <v>173578.490183063</v>
      </c>
      <c r="S11" s="96"/>
    </row>
    <row r="12" spans="1:19">
      <c r="A12" s="91">
        <v>18568</v>
      </c>
      <c r="B12">
        <v>19.559999000000001</v>
      </c>
      <c r="C12">
        <v>20.32</v>
      </c>
      <c r="D12">
        <v>19.360001</v>
      </c>
      <c r="E12">
        <v>19.510000000000002</v>
      </c>
      <c r="F12">
        <v>19.510000000000002</v>
      </c>
      <c r="G12">
        <v>43180000</v>
      </c>
      <c r="H12" s="93">
        <f t="shared" si="4"/>
        <v>0.9933975625496414</v>
      </c>
      <c r="L12">
        <v>35</v>
      </c>
      <c r="M12">
        <f t="shared" si="0"/>
        <v>55367.575418633438</v>
      </c>
      <c r="N12">
        <f t="shared" si="1"/>
        <v>4983.0817876770088</v>
      </c>
      <c r="O12">
        <f t="shared" ca="1" si="2"/>
        <v>1.0138919962025135</v>
      </c>
      <c r="P12">
        <f ca="1">PRODUCT(O12:$O$52)</f>
        <v>29.395349946527386</v>
      </c>
      <c r="Q12">
        <f t="shared" ca="1" si="3"/>
        <v>146479.43296093296</v>
      </c>
    </row>
    <row r="13" spans="1:19">
      <c r="A13" s="91">
        <v>18598</v>
      </c>
      <c r="B13">
        <v>19.66</v>
      </c>
      <c r="C13">
        <v>20.43</v>
      </c>
      <c r="D13">
        <v>19</v>
      </c>
      <c r="E13">
        <v>20.41</v>
      </c>
      <c r="F13">
        <v>20.41</v>
      </c>
      <c r="G13">
        <v>60830000</v>
      </c>
      <c r="H13" s="93">
        <f t="shared" si="4"/>
        <v>1.0051125258237488</v>
      </c>
      <c r="K13" s="91"/>
      <c r="L13">
        <v>36</v>
      </c>
      <c r="M13">
        <f t="shared" si="0"/>
        <v>57028.602681192446</v>
      </c>
      <c r="N13">
        <f t="shared" si="1"/>
        <v>5132.5742413073203</v>
      </c>
      <c r="O13">
        <f t="shared" ca="1" si="2"/>
        <v>1.0520122121905291</v>
      </c>
      <c r="P13">
        <f ca="1">PRODUCT(O13:$O$52)</f>
        <v>28.992585064904681</v>
      </c>
      <c r="Q13">
        <f t="shared" ca="1" si="3"/>
        <v>148806.59529304109</v>
      </c>
    </row>
    <row r="14" spans="1:19">
      <c r="A14" s="91">
        <v>18629</v>
      </c>
      <c r="B14">
        <v>20.77</v>
      </c>
      <c r="C14">
        <v>21.74</v>
      </c>
      <c r="D14">
        <v>20.690000999999999</v>
      </c>
      <c r="E14">
        <v>21.66</v>
      </c>
      <c r="F14">
        <v>21.66</v>
      </c>
      <c r="G14">
        <v>70180000</v>
      </c>
      <c r="H14" s="93">
        <f t="shared" si="4"/>
        <v>1.0564598168870802</v>
      </c>
      <c r="I14">
        <f>B14/B2</f>
        <v>1.2466986794717887</v>
      </c>
      <c r="J14">
        <f>_xlfn.STDEV.S(H3:H14)</f>
        <v>3.2794847161201165E-2</v>
      </c>
      <c r="K14" s="91">
        <v>18629</v>
      </c>
      <c r="L14">
        <v>37</v>
      </c>
      <c r="M14">
        <f t="shared" si="0"/>
        <v>58739.460761628223</v>
      </c>
      <c r="N14">
        <f t="shared" si="1"/>
        <v>5286.5514685465396</v>
      </c>
      <c r="O14">
        <f t="shared" ca="1" si="2"/>
        <v>1.1841239355579771</v>
      </c>
      <c r="P14">
        <f ca="1">PRODUCT(O14:$O$52)</f>
        <v>27.55917158464872</v>
      </c>
      <c r="Q14">
        <f t="shared" ca="1" si="3"/>
        <v>145692.97901275076</v>
      </c>
    </row>
    <row r="15" spans="1:19">
      <c r="A15" s="91">
        <v>18660</v>
      </c>
      <c r="B15">
        <v>21.77</v>
      </c>
      <c r="C15">
        <v>22.209999</v>
      </c>
      <c r="D15">
        <v>21.76</v>
      </c>
      <c r="E15">
        <v>21.799999</v>
      </c>
      <c r="F15">
        <v>21.799999</v>
      </c>
      <c r="G15">
        <v>41210000</v>
      </c>
      <c r="H15" s="93">
        <f t="shared" si="4"/>
        <v>1.0481463649494462</v>
      </c>
      <c r="I15">
        <f>B15/B3</f>
        <v>1.2768329194623413</v>
      </c>
      <c r="J15">
        <f>_xlfn.STDEV.S(H4:H15)</f>
        <v>3.3854868611071037E-2</v>
      </c>
      <c r="K15" s="91">
        <v>18660</v>
      </c>
      <c r="L15">
        <v>38</v>
      </c>
      <c r="M15">
        <f t="shared" si="0"/>
        <v>60501.644584477071</v>
      </c>
      <c r="N15">
        <f t="shared" si="1"/>
        <v>5445.1480126029364</v>
      </c>
      <c r="O15">
        <f t="shared" ca="1" si="2"/>
        <v>1.0798168695708825</v>
      </c>
      <c r="P15">
        <f ca="1">PRODUCT(O15:$O$52)</f>
        <v>23.273891150306355</v>
      </c>
      <c r="Q15">
        <f t="shared" ca="1" si="3"/>
        <v>126729.78214262772</v>
      </c>
    </row>
    <row r="16" spans="1:19">
      <c r="A16" s="91">
        <v>18688</v>
      </c>
      <c r="B16">
        <v>21.85</v>
      </c>
      <c r="C16">
        <v>21.950001</v>
      </c>
      <c r="D16">
        <v>21.25</v>
      </c>
      <c r="E16">
        <v>21.4</v>
      </c>
      <c r="F16">
        <v>21.4</v>
      </c>
      <c r="G16">
        <v>35530000</v>
      </c>
      <c r="H16" s="93">
        <f t="shared" si="4"/>
        <v>1.0036747818098302</v>
      </c>
      <c r="I16">
        <f t="shared" ref="I16:I79" si="5">B16/B4</f>
        <v>1.2674013921113692</v>
      </c>
      <c r="J16">
        <f t="shared" ref="J16:J78" si="6">_xlfn.STDEV.S(H5:H16)</f>
        <v>3.4122160984842248E-2</v>
      </c>
      <c r="K16" s="91">
        <v>18688</v>
      </c>
      <c r="L16">
        <v>39</v>
      </c>
      <c r="M16">
        <f t="shared" si="0"/>
        <v>62316.693922011385</v>
      </c>
      <c r="N16">
        <f t="shared" si="1"/>
        <v>5608.5024529810244</v>
      </c>
      <c r="O16">
        <f t="shared" ca="1" si="2"/>
        <v>1.0938088347067318</v>
      </c>
      <c r="P16">
        <f ca="1">PRODUCT(O16:$O$52)</f>
        <v>21.553553946194004</v>
      </c>
      <c r="Q16">
        <f t="shared" ca="1" si="3"/>
        <v>120883.16017768791</v>
      </c>
    </row>
    <row r="17" spans="1:17">
      <c r="A17" s="91">
        <v>18719</v>
      </c>
      <c r="B17">
        <v>21.32</v>
      </c>
      <c r="C17">
        <v>22.43</v>
      </c>
      <c r="D17">
        <v>21.26</v>
      </c>
      <c r="E17">
        <v>22.43</v>
      </c>
      <c r="F17">
        <v>22.43</v>
      </c>
      <c r="G17">
        <v>37790000</v>
      </c>
      <c r="H17" s="93">
        <f t="shared" si="4"/>
        <v>0.97574370709382141</v>
      </c>
      <c r="I17">
        <f t="shared" si="5"/>
        <v>1.229527104959631</v>
      </c>
      <c r="J17">
        <f t="shared" si="6"/>
        <v>3.6329272983597817E-2</v>
      </c>
      <c r="K17" s="91">
        <v>18719</v>
      </c>
      <c r="L17">
        <v>40</v>
      </c>
      <c r="M17">
        <f t="shared" si="0"/>
        <v>64186.19473967173</v>
      </c>
      <c r="N17">
        <f t="shared" si="1"/>
        <v>5776.7575265704554</v>
      </c>
      <c r="O17">
        <f t="shared" ca="1" si="2"/>
        <v>1.0608265797567924</v>
      </c>
      <c r="P17">
        <f ca="1">PRODUCT(O17:$O$52)</f>
        <v>19.705046496514051</v>
      </c>
      <c r="Q17">
        <f t="shared" ca="1" si="3"/>
        <v>113831.27566015832</v>
      </c>
    </row>
    <row r="18" spans="1:17">
      <c r="A18" s="91">
        <v>18749</v>
      </c>
      <c r="B18">
        <v>22.530000999999999</v>
      </c>
      <c r="C18">
        <v>22.809999000000001</v>
      </c>
      <c r="D18">
        <v>21.030000999999999</v>
      </c>
      <c r="E18">
        <v>21.52</v>
      </c>
      <c r="F18">
        <v>21.52</v>
      </c>
      <c r="G18">
        <v>38440000</v>
      </c>
      <c r="H18" s="93">
        <f t="shared" si="4"/>
        <v>1.0567542682926829</v>
      </c>
      <c r="I18">
        <f t="shared" si="5"/>
        <v>1.2365533609524346</v>
      </c>
      <c r="J18">
        <f t="shared" si="6"/>
        <v>3.6859250731908752E-2</v>
      </c>
      <c r="K18" s="91">
        <v>18749</v>
      </c>
      <c r="L18">
        <v>41</v>
      </c>
      <c r="M18">
        <f t="shared" si="0"/>
        <v>66111.78058186188</v>
      </c>
      <c r="N18">
        <f t="shared" si="1"/>
        <v>5950.0602523675689</v>
      </c>
      <c r="O18">
        <f t="shared" ca="1" si="2"/>
        <v>1.2264504633134887</v>
      </c>
      <c r="P18">
        <f ca="1">PRODUCT(O18:$O$52)</f>
        <v>18.575181723889006</v>
      </c>
      <c r="Q18">
        <f t="shared" ca="1" si="3"/>
        <v>110523.45045581648</v>
      </c>
    </row>
    <row r="19" spans="1:17">
      <c r="A19" s="91">
        <v>18780</v>
      </c>
      <c r="B19">
        <v>21.48</v>
      </c>
      <c r="C19">
        <v>22.049999</v>
      </c>
      <c r="D19">
        <v>20.959999</v>
      </c>
      <c r="E19">
        <v>20.959999</v>
      </c>
      <c r="F19">
        <v>20.959999</v>
      </c>
      <c r="G19">
        <v>36220000</v>
      </c>
      <c r="H19" s="93">
        <f t="shared" si="4"/>
        <v>0.95339543038635466</v>
      </c>
      <c r="I19">
        <f t="shared" si="5"/>
        <v>1.1443793287160362</v>
      </c>
      <c r="J19">
        <f t="shared" si="6"/>
        <v>4.1066690837890399E-2</v>
      </c>
      <c r="K19" s="91">
        <v>18780</v>
      </c>
      <c r="L19">
        <v>42</v>
      </c>
      <c r="M19">
        <f t="shared" si="0"/>
        <v>68095.133999317739</v>
      </c>
      <c r="N19">
        <f t="shared" si="1"/>
        <v>6128.5620599385966</v>
      </c>
      <c r="O19">
        <f t="shared" ca="1" si="2"/>
        <v>1.0733628252641565</v>
      </c>
      <c r="P19">
        <f ca="1">PRODUCT(O19:$O$52)</f>
        <v>15.145480620313533</v>
      </c>
      <c r="Q19">
        <f t="shared" ca="1" si="3"/>
        <v>92820.017909188799</v>
      </c>
    </row>
    <row r="20" spans="1:17">
      <c r="A20" s="91">
        <v>18810</v>
      </c>
      <c r="B20">
        <v>21.1</v>
      </c>
      <c r="C20">
        <v>22.629999000000002</v>
      </c>
      <c r="D20">
        <v>21.1</v>
      </c>
      <c r="E20">
        <v>22.4</v>
      </c>
      <c r="F20">
        <v>22.4</v>
      </c>
      <c r="G20">
        <v>27990000</v>
      </c>
      <c r="H20" s="93">
        <f t="shared" si="4"/>
        <v>0.98230912476722543</v>
      </c>
      <c r="I20">
        <f t="shared" si="5"/>
        <v>1.1961451925252378</v>
      </c>
      <c r="J20">
        <f t="shared" si="6"/>
        <v>3.5755015130052137E-2</v>
      </c>
      <c r="K20" s="91">
        <v>18810</v>
      </c>
      <c r="L20">
        <v>43</v>
      </c>
      <c r="M20">
        <f t="shared" si="0"/>
        <v>70137.988019297278</v>
      </c>
      <c r="N20">
        <f t="shared" si="1"/>
        <v>6312.4189217367548</v>
      </c>
      <c r="O20">
        <f t="shared" ca="1" si="2"/>
        <v>1.3852855759922555</v>
      </c>
      <c r="P20">
        <f ca="1">PRODUCT(O20:$O$52)</f>
        <v>14.11030852180502</v>
      </c>
      <c r="Q20">
        <f t="shared" ca="1" si="3"/>
        <v>89070.17850458539</v>
      </c>
    </row>
    <row r="21" spans="1:17">
      <c r="A21" s="91">
        <v>18841</v>
      </c>
      <c r="B21">
        <v>22.51</v>
      </c>
      <c r="C21">
        <v>23.280000999999999</v>
      </c>
      <c r="D21">
        <v>22.51</v>
      </c>
      <c r="E21">
        <v>23.280000999999999</v>
      </c>
      <c r="F21">
        <v>23.280000999999999</v>
      </c>
      <c r="G21">
        <v>33630000</v>
      </c>
      <c r="H21" s="93">
        <f t="shared" si="4"/>
        <v>1.0668246445497631</v>
      </c>
      <c r="I21">
        <f t="shared" si="5"/>
        <v>1.2491675915649281</v>
      </c>
      <c r="J21">
        <f t="shared" si="6"/>
        <v>3.8705039502647448E-2</v>
      </c>
      <c r="K21" s="91">
        <v>18841</v>
      </c>
      <c r="L21">
        <v>44</v>
      </c>
      <c r="M21">
        <f t="shared" si="0"/>
        <v>72242.127659876205</v>
      </c>
      <c r="N21">
        <f t="shared" si="1"/>
        <v>6501.7914893888583</v>
      </c>
      <c r="O21">
        <f t="shared" ca="1" si="2"/>
        <v>0.7331977393583754</v>
      </c>
      <c r="P21">
        <f ca="1">PRODUCT(O21:$O$52)</f>
        <v>10.185848150261767</v>
      </c>
      <c r="Q21">
        <f t="shared" ca="1" si="3"/>
        <v>66226.260815579211</v>
      </c>
    </row>
    <row r="22" spans="1:17">
      <c r="A22" s="91">
        <v>18872</v>
      </c>
      <c r="B22">
        <v>23.280000999999999</v>
      </c>
      <c r="C22">
        <v>23.709999</v>
      </c>
      <c r="D22">
        <v>23.26</v>
      </c>
      <c r="E22">
        <v>23.26</v>
      </c>
      <c r="F22">
        <v>23.26</v>
      </c>
      <c r="G22">
        <v>36420000</v>
      </c>
      <c r="H22" s="93">
        <f t="shared" si="4"/>
        <v>1.0342070635273211</v>
      </c>
      <c r="I22">
        <f t="shared" si="5"/>
        <v>1.2549866444736735</v>
      </c>
      <c r="J22">
        <f t="shared" si="6"/>
        <v>3.8842421617909254E-2</v>
      </c>
      <c r="K22" s="91">
        <v>18872</v>
      </c>
      <c r="L22">
        <v>45</v>
      </c>
      <c r="M22">
        <f t="shared" si="0"/>
        <v>74409.391489672489</v>
      </c>
      <c r="N22">
        <f t="shared" si="1"/>
        <v>6696.8452340705235</v>
      </c>
      <c r="O22">
        <f t="shared" ca="1" si="2"/>
        <v>1.1184686851766192</v>
      </c>
      <c r="P22">
        <f ca="1">PRODUCT(O22:$O$52)</f>
        <v>13.892361641997757</v>
      </c>
      <c r="Q22">
        <f t="shared" ca="1" si="3"/>
        <v>93034.995852196836</v>
      </c>
    </row>
    <row r="23" spans="1:17">
      <c r="A23" s="91">
        <v>18902</v>
      </c>
      <c r="B23">
        <v>23.469999000000001</v>
      </c>
      <c r="C23">
        <v>23.85</v>
      </c>
      <c r="D23">
        <v>22.450001</v>
      </c>
      <c r="E23">
        <v>22.940000999999999</v>
      </c>
      <c r="F23">
        <v>22.940000999999999</v>
      </c>
      <c r="G23">
        <v>42930000</v>
      </c>
      <c r="H23" s="93">
        <f t="shared" si="4"/>
        <v>1.0081614257662619</v>
      </c>
      <c r="I23">
        <f t="shared" si="5"/>
        <v>1.1919755108189178</v>
      </c>
      <c r="J23">
        <f t="shared" si="6"/>
        <v>3.6629084531390861E-2</v>
      </c>
      <c r="K23" s="91">
        <v>18902</v>
      </c>
      <c r="L23">
        <v>46</v>
      </c>
      <c r="M23">
        <f t="shared" si="0"/>
        <v>76641.673234362665</v>
      </c>
      <c r="N23">
        <f t="shared" si="1"/>
        <v>6897.7505910926393</v>
      </c>
      <c r="O23">
        <f t="shared" ca="1" si="2"/>
        <v>1.2547990251055554</v>
      </c>
      <c r="P23">
        <f ca="1">PRODUCT(O23:$O$52)</f>
        <v>12.420876709484265</v>
      </c>
      <c r="Q23">
        <f t="shared" ca="1" si="3"/>
        <v>85676.109664733885</v>
      </c>
    </row>
    <row r="24" spans="1:17">
      <c r="A24" s="91">
        <v>18933</v>
      </c>
      <c r="B24">
        <v>23.1</v>
      </c>
      <c r="C24">
        <v>23.1</v>
      </c>
      <c r="D24">
        <v>22.299999</v>
      </c>
      <c r="E24">
        <v>22.879999000000002</v>
      </c>
      <c r="F24">
        <v>22.879999000000002</v>
      </c>
      <c r="G24">
        <v>29280000</v>
      </c>
      <c r="H24" s="93">
        <f t="shared" si="4"/>
        <v>0.98423523580039352</v>
      </c>
      <c r="I24">
        <f t="shared" si="5"/>
        <v>1.1809816554694097</v>
      </c>
      <c r="J24">
        <f t="shared" si="6"/>
        <v>3.721899715338442E-2</v>
      </c>
      <c r="K24" s="91">
        <v>18933</v>
      </c>
      <c r="L24">
        <v>47</v>
      </c>
      <c r="M24">
        <f t="shared" si="0"/>
        <v>78940.923431393545</v>
      </c>
      <c r="N24">
        <f t="shared" si="1"/>
        <v>7104.6831088254185</v>
      </c>
      <c r="O24">
        <f t="shared" ca="1" si="2"/>
        <v>1.0508259390020416</v>
      </c>
      <c r="P24">
        <f ca="1">PRODUCT(O24:$O$52)</f>
        <v>9.8986980870816392</v>
      </c>
      <c r="Q24">
        <f t="shared" ca="1" si="3"/>
        <v>70327.113098651404</v>
      </c>
    </row>
    <row r="25" spans="1:17">
      <c r="A25" s="91">
        <v>18963</v>
      </c>
      <c r="B25">
        <v>22.940000999999999</v>
      </c>
      <c r="C25">
        <v>23.77</v>
      </c>
      <c r="D25">
        <v>22.940000999999999</v>
      </c>
      <c r="E25">
        <v>23.77</v>
      </c>
      <c r="F25">
        <v>23.77</v>
      </c>
      <c r="G25">
        <v>34610000</v>
      </c>
      <c r="H25" s="93">
        <f t="shared" si="4"/>
        <v>0.99307363636363621</v>
      </c>
      <c r="I25">
        <f t="shared" si="5"/>
        <v>1.1668362665310275</v>
      </c>
      <c r="J25">
        <f t="shared" si="6"/>
        <v>3.7657225723893767E-2</v>
      </c>
      <c r="K25" s="91">
        <v>18963</v>
      </c>
      <c r="L25">
        <v>48</v>
      </c>
      <c r="M25">
        <f t="shared" si="0"/>
        <v>81309.151134335349</v>
      </c>
      <c r="N25">
        <f t="shared" si="1"/>
        <v>7317.8236020901813</v>
      </c>
      <c r="O25">
        <f t="shared" ca="1" si="2"/>
        <v>1.0984960970524047</v>
      </c>
      <c r="P25">
        <f ca="1">PRODUCT(O25:$O$52)</f>
        <v>9.4199217203206143</v>
      </c>
      <c r="Q25">
        <f t="shared" ca="1" si="3"/>
        <v>68933.325494804129</v>
      </c>
    </row>
    <row r="26" spans="1:17">
      <c r="A26" s="91">
        <v>18994</v>
      </c>
      <c r="B26">
        <v>23.799999</v>
      </c>
      <c r="C26">
        <v>24.66</v>
      </c>
      <c r="D26">
        <v>23.74</v>
      </c>
      <c r="E26">
        <v>24.139999</v>
      </c>
      <c r="F26">
        <v>24.139999</v>
      </c>
      <c r="G26">
        <v>41560000</v>
      </c>
      <c r="H26" s="93">
        <f t="shared" si="4"/>
        <v>1.0374890131870527</v>
      </c>
      <c r="I26">
        <f t="shared" si="5"/>
        <v>1.1458834376504574</v>
      </c>
      <c r="J26">
        <f>_xlfn.STDEV.S(H15:H26)</f>
        <v>3.605776304492312E-2</v>
      </c>
      <c r="K26" s="91">
        <v>18994</v>
      </c>
      <c r="L26">
        <v>49</v>
      </c>
      <c r="M26">
        <f t="shared" si="0"/>
        <v>83748.425668365409</v>
      </c>
      <c r="N26">
        <f t="shared" si="1"/>
        <v>7537.3583101528866</v>
      </c>
      <c r="O26">
        <f t="shared" ca="1" si="2"/>
        <v>1.0966363291909194</v>
      </c>
      <c r="P26">
        <f ca="1">PRODUCT(O26:$O$52)</f>
        <v>8.5752892027537442</v>
      </c>
      <c r="Q26">
        <f t="shared" ca="1" si="3"/>
        <v>64635.027334340259</v>
      </c>
    </row>
    <row r="27" spans="1:17">
      <c r="A27" s="91">
        <v>19025</v>
      </c>
      <c r="B27">
        <v>24.299999</v>
      </c>
      <c r="C27">
        <v>24.41</v>
      </c>
      <c r="D27">
        <v>23.09</v>
      </c>
      <c r="E27">
        <v>23.26</v>
      </c>
      <c r="F27">
        <v>23.26</v>
      </c>
      <c r="G27">
        <v>27190000</v>
      </c>
      <c r="H27" s="93">
        <f t="shared" si="4"/>
        <v>1.0210084042440506</v>
      </c>
      <c r="I27">
        <f t="shared" si="5"/>
        <v>1.1162149288011025</v>
      </c>
      <c r="J27">
        <f t="shared" si="6"/>
        <v>3.4397503536108091E-2</v>
      </c>
      <c r="K27" s="91">
        <v>19025</v>
      </c>
      <c r="L27">
        <v>50</v>
      </c>
      <c r="M27">
        <f t="shared" si="0"/>
        <v>86260.878438416374</v>
      </c>
      <c r="N27">
        <f t="shared" si="1"/>
        <v>7763.4790594574733</v>
      </c>
      <c r="O27">
        <f t="shared" ca="1" si="2"/>
        <v>1.3786545036768354</v>
      </c>
      <c r="P27">
        <f ca="1">PRODUCT(O27:$O$52)</f>
        <v>7.8196289640344609</v>
      </c>
      <c r="Q27">
        <f t="shared" ca="1" si="3"/>
        <v>60707.525715008676</v>
      </c>
    </row>
    <row r="28" spans="1:17">
      <c r="A28" s="91">
        <v>19054</v>
      </c>
      <c r="B28">
        <v>23.280000999999999</v>
      </c>
      <c r="C28">
        <v>24.370000999999998</v>
      </c>
      <c r="D28">
        <v>23.280000999999999</v>
      </c>
      <c r="E28">
        <v>24.370000999999998</v>
      </c>
      <c r="F28">
        <v>24.370000999999998</v>
      </c>
      <c r="G28">
        <v>29500000</v>
      </c>
      <c r="H28" s="93">
        <f t="shared" si="4"/>
        <v>0.95802477193517577</v>
      </c>
      <c r="I28">
        <f t="shared" si="5"/>
        <v>1.0654462700228831</v>
      </c>
      <c r="J28">
        <f t="shared" si="6"/>
        <v>3.7512499211603795E-2</v>
      </c>
      <c r="K28" s="91">
        <v>19054</v>
      </c>
      <c r="L28">
        <v>51</v>
      </c>
      <c r="M28">
        <f t="shared" si="0"/>
        <v>88848.70479156886</v>
      </c>
      <c r="N28">
        <f t="shared" si="1"/>
        <v>7996.3834312411973</v>
      </c>
      <c r="O28">
        <f t="shared" ca="1" si="2"/>
        <v>0.96496811445190622</v>
      </c>
      <c r="P28">
        <f ca="1">PRODUCT(O28:$O$52)</f>
        <v>5.6719279146296016</v>
      </c>
      <c r="Q28">
        <f t="shared" ca="1" si="3"/>
        <v>45354.910399738583</v>
      </c>
    </row>
    <row r="29" spans="1:17">
      <c r="A29" s="91">
        <v>19085</v>
      </c>
      <c r="B29">
        <v>24.18</v>
      </c>
      <c r="C29">
        <v>24.18</v>
      </c>
      <c r="D29">
        <v>23.32</v>
      </c>
      <c r="E29">
        <v>23.32</v>
      </c>
      <c r="F29">
        <v>23.32</v>
      </c>
      <c r="G29">
        <v>28880000</v>
      </c>
      <c r="H29" s="93">
        <f t="shared" si="4"/>
        <v>1.0386597491984644</v>
      </c>
      <c r="I29">
        <f t="shared" si="5"/>
        <v>1.1341463414634145</v>
      </c>
      <c r="J29">
        <f t="shared" si="6"/>
        <v>3.7305275100268633E-2</v>
      </c>
      <c r="K29" s="91">
        <v>19085</v>
      </c>
      <c r="L29">
        <v>52</v>
      </c>
      <c r="M29">
        <f t="shared" si="0"/>
        <v>91514.165935315934</v>
      </c>
      <c r="N29">
        <f t="shared" si="1"/>
        <v>8236.2749341784329</v>
      </c>
      <c r="O29">
        <f t="shared" ca="1" si="2"/>
        <v>1.204871428826213</v>
      </c>
      <c r="P29">
        <f ca="1">PRODUCT(O29:$O$52)</f>
        <v>5.8778397230785275</v>
      </c>
      <c r="Q29">
        <f t="shared" ca="1" si="3"/>
        <v>48411.503978309978</v>
      </c>
    </row>
    <row r="30" spans="1:17">
      <c r="A30" s="91">
        <v>19115</v>
      </c>
      <c r="B30">
        <v>23.17</v>
      </c>
      <c r="C30">
        <v>23.940000999999999</v>
      </c>
      <c r="D30">
        <v>23.17</v>
      </c>
      <c r="E30">
        <v>23.860001</v>
      </c>
      <c r="F30">
        <v>23.860001</v>
      </c>
      <c r="G30">
        <v>24010000</v>
      </c>
      <c r="H30" s="93">
        <f t="shared" si="4"/>
        <v>0.95822994210090995</v>
      </c>
      <c r="I30">
        <f t="shared" si="5"/>
        <v>1.0284065233729907</v>
      </c>
      <c r="J30">
        <f t="shared" si="6"/>
        <v>3.7204606942598764E-2</v>
      </c>
      <c r="K30" s="91">
        <v>19115</v>
      </c>
      <c r="L30">
        <v>53</v>
      </c>
      <c r="M30">
        <f t="shared" si="0"/>
        <v>94259.590913375418</v>
      </c>
      <c r="N30">
        <f t="shared" si="1"/>
        <v>8483.3631822037878</v>
      </c>
      <c r="O30">
        <f t="shared" ca="1" si="2"/>
        <v>0.88498044746864368</v>
      </c>
      <c r="P30">
        <f ca="1">PRODUCT(O30:$O$52)</f>
        <v>4.8783958042765834</v>
      </c>
      <c r="Q30">
        <f t="shared" ca="1" si="3"/>
        <v>41385.203354217403</v>
      </c>
    </row>
    <row r="31" spans="1:17">
      <c r="A31" s="91">
        <v>19146</v>
      </c>
      <c r="B31">
        <v>23.799999</v>
      </c>
      <c r="C31">
        <v>24.959999</v>
      </c>
      <c r="D31">
        <v>23.780000999999999</v>
      </c>
      <c r="E31">
        <v>24.959999</v>
      </c>
      <c r="F31">
        <v>24.959999</v>
      </c>
      <c r="G31">
        <v>25530000</v>
      </c>
      <c r="H31" s="93">
        <f t="shared" si="4"/>
        <v>1.0271902891670261</v>
      </c>
      <c r="I31">
        <f t="shared" si="5"/>
        <v>1.1080074022346369</v>
      </c>
      <c r="J31">
        <f t="shared" si="6"/>
        <v>3.4247034897660532E-2</v>
      </c>
      <c r="K31" s="91">
        <v>19146</v>
      </c>
      <c r="L31">
        <v>54</v>
      </c>
      <c r="M31">
        <f>M32/(1+$J$2)</f>
        <v>97087.378640776689</v>
      </c>
      <c r="N31">
        <f t="shared" si="1"/>
        <v>8737.8640776699012</v>
      </c>
      <c r="O31">
        <f t="shared" ca="1" si="2"/>
        <v>1.1310534880443475</v>
      </c>
      <c r="P31">
        <f ca="1">PRODUCT(O31:$O$52)</f>
        <v>5.5124334308520799</v>
      </c>
      <c r="Q31">
        <f t="shared" ca="1" si="3"/>
        <v>48166.89405598904</v>
      </c>
    </row>
    <row r="32" spans="1:17">
      <c r="A32" s="91">
        <v>19176</v>
      </c>
      <c r="B32">
        <v>25.120000999999998</v>
      </c>
      <c r="C32">
        <v>25.4</v>
      </c>
      <c r="D32">
        <v>24.809999000000001</v>
      </c>
      <c r="E32">
        <v>25.4</v>
      </c>
      <c r="F32">
        <v>25.4</v>
      </c>
      <c r="G32">
        <v>24100000</v>
      </c>
      <c r="H32" s="93">
        <f t="shared" si="4"/>
        <v>1.0554622712379105</v>
      </c>
      <c r="I32">
        <f t="shared" si="5"/>
        <v>1.1905213744075829</v>
      </c>
      <c r="J32">
        <f t="shared" si="6"/>
        <v>3.5527983105581862E-2</v>
      </c>
      <c r="K32" s="91">
        <v>19176</v>
      </c>
      <c r="L32">
        <v>55</v>
      </c>
      <c r="M32">
        <v>100000</v>
      </c>
      <c r="N32">
        <f t="shared" si="1"/>
        <v>9000</v>
      </c>
      <c r="O32">
        <f t="shared" ca="1" si="2"/>
        <v>1.0650040057152292</v>
      </c>
      <c r="P32">
        <f ca="1">PRODUCT(O32:$O$52)</f>
        <v>4.8737159551873814</v>
      </c>
      <c r="Q32">
        <f t="shared" ca="1" si="3"/>
        <v>43863.443596686433</v>
      </c>
    </row>
    <row r="33" spans="1:24">
      <c r="A33" s="91">
        <v>19207</v>
      </c>
      <c r="B33">
        <v>25.450001</v>
      </c>
      <c r="C33">
        <v>25.549999</v>
      </c>
      <c r="D33">
        <v>24.83</v>
      </c>
      <c r="E33">
        <v>25.030000999999999</v>
      </c>
      <c r="F33">
        <v>25.030000999999999</v>
      </c>
      <c r="G33">
        <v>20890000</v>
      </c>
      <c r="H33" s="93">
        <f t="shared" si="4"/>
        <v>1.0131369421521919</v>
      </c>
      <c r="I33">
        <f t="shared" si="5"/>
        <v>1.1306086628165259</v>
      </c>
      <c r="J33">
        <f t="shared" si="6"/>
        <v>3.1601291131543939E-2</v>
      </c>
      <c r="K33" s="91">
        <v>19207</v>
      </c>
      <c r="L33">
        <v>56</v>
      </c>
      <c r="M33">
        <f>M32*(1+$J$2)</f>
        <v>103000</v>
      </c>
      <c r="N33">
        <f t="shared" si="1"/>
        <v>9270</v>
      </c>
      <c r="O33">
        <f t="shared" ca="1" si="2"/>
        <v>0.90528350820607262</v>
      </c>
      <c r="P33">
        <f ca="1">PRODUCT(O33:$O$52)</f>
        <v>4.5762419005309933</v>
      </c>
      <c r="Q33">
        <f t="shared" ca="1" si="3"/>
        <v>42421.762417922306</v>
      </c>
    </row>
    <row r="34" spans="1:24">
      <c r="A34" s="91">
        <v>19238</v>
      </c>
      <c r="B34">
        <v>25.15</v>
      </c>
      <c r="C34">
        <v>25.25</v>
      </c>
      <c r="D34">
        <v>24.450001</v>
      </c>
      <c r="E34">
        <v>24.540001</v>
      </c>
      <c r="F34">
        <v>24.540001</v>
      </c>
      <c r="G34">
        <v>24100000</v>
      </c>
      <c r="H34" s="93">
        <f t="shared" si="4"/>
        <v>0.98821214191700812</v>
      </c>
      <c r="I34">
        <f t="shared" si="5"/>
        <v>1.0803264140753259</v>
      </c>
      <c r="J34">
        <f t="shared" si="6"/>
        <v>3.1283970493155164E-2</v>
      </c>
      <c r="K34" s="91">
        <v>19238</v>
      </c>
      <c r="L34">
        <v>57</v>
      </c>
      <c r="M34">
        <f t="shared" ref="M34:M51" si="7">M33*(1+$J$2)</f>
        <v>106090</v>
      </c>
      <c r="N34">
        <f t="shared" si="1"/>
        <v>9548.1</v>
      </c>
      <c r="O34">
        <f t="shared" ca="1" si="2"/>
        <v>1.1816374013580011</v>
      </c>
      <c r="P34">
        <f ca="1">PRODUCT(O34:$O$52)</f>
        <v>5.0550372994194559</v>
      </c>
      <c r="Q34">
        <f t="shared" ca="1" si="3"/>
        <v>48266.001638586909</v>
      </c>
    </row>
    <row r="35" spans="1:24">
      <c r="A35" s="91">
        <v>19268</v>
      </c>
      <c r="B35">
        <v>24.48</v>
      </c>
      <c r="C35">
        <v>24.58</v>
      </c>
      <c r="D35">
        <v>23.799999</v>
      </c>
      <c r="E35">
        <v>24.52</v>
      </c>
      <c r="F35">
        <v>24.52</v>
      </c>
      <c r="G35">
        <v>25940000</v>
      </c>
      <c r="H35" s="93">
        <f t="shared" si="4"/>
        <v>0.97335984095427441</v>
      </c>
      <c r="I35">
        <f t="shared" si="5"/>
        <v>1.0430337044326248</v>
      </c>
      <c r="J35">
        <f t="shared" si="6"/>
        <v>3.27365003206175E-2</v>
      </c>
      <c r="K35" s="91">
        <v>19268</v>
      </c>
      <c r="L35">
        <v>58</v>
      </c>
      <c r="M35">
        <f t="shared" si="7"/>
        <v>109272.7</v>
      </c>
      <c r="N35">
        <f t="shared" si="1"/>
        <v>9834.5429999999997</v>
      </c>
      <c r="O35">
        <f t="shared" ca="1" si="2"/>
        <v>1.1845074534245208</v>
      </c>
      <c r="P35">
        <f ca="1">PRODUCT(O35:$O$52)</f>
        <v>4.2779936498370246</v>
      </c>
      <c r="Q35">
        <f t="shared" ca="1" si="3"/>
        <v>42072.11250304916</v>
      </c>
    </row>
    <row r="36" spans="1:24">
      <c r="A36" s="91">
        <v>19299</v>
      </c>
      <c r="B36">
        <v>24.6</v>
      </c>
      <c r="C36">
        <v>25.66</v>
      </c>
      <c r="D36">
        <v>24.6</v>
      </c>
      <c r="E36">
        <v>25.66</v>
      </c>
      <c r="F36">
        <v>25.66</v>
      </c>
      <c r="G36">
        <v>30210000</v>
      </c>
      <c r="H36" s="93">
        <f t="shared" si="4"/>
        <v>1.0049019607843137</v>
      </c>
      <c r="I36">
        <f t="shared" si="5"/>
        <v>1.0649350649350648</v>
      </c>
      <c r="J36">
        <f t="shared" si="6"/>
        <v>3.2139970237690767E-2</v>
      </c>
      <c r="K36" s="91">
        <v>19299</v>
      </c>
      <c r="L36">
        <v>59</v>
      </c>
      <c r="M36">
        <f t="shared" si="7"/>
        <v>112550.88099999999</v>
      </c>
      <c r="N36">
        <f t="shared" si="1"/>
        <v>10129.57929</v>
      </c>
      <c r="O36">
        <f t="shared" ca="1" si="2"/>
        <v>1.1760750667408613</v>
      </c>
      <c r="P36">
        <f ca="1">PRODUCT(O36:$O$52)</f>
        <v>3.6116223983808204</v>
      </c>
      <c r="Q36">
        <f t="shared" ca="1" si="3"/>
        <v>36584.215449938485</v>
      </c>
    </row>
    <row r="37" spans="1:24">
      <c r="A37" s="91">
        <v>19329</v>
      </c>
      <c r="B37">
        <v>25.68</v>
      </c>
      <c r="C37">
        <v>26.59</v>
      </c>
      <c r="D37">
        <v>25.610001</v>
      </c>
      <c r="E37">
        <v>26.57</v>
      </c>
      <c r="F37">
        <v>26.57</v>
      </c>
      <c r="G37">
        <v>40480000</v>
      </c>
      <c r="H37" s="93">
        <f t="shared" si="4"/>
        <v>1.0439024390243903</v>
      </c>
      <c r="I37">
        <f t="shared" si="5"/>
        <v>1.1194419738691381</v>
      </c>
      <c r="J37">
        <f t="shared" si="6"/>
        <v>3.3635076859500422E-2</v>
      </c>
      <c r="K37" s="91">
        <v>19329</v>
      </c>
      <c r="L37">
        <v>60</v>
      </c>
      <c r="M37">
        <f t="shared" si="7"/>
        <v>115927.40742999999</v>
      </c>
      <c r="N37">
        <f t="shared" si="1"/>
        <v>10433.466668699999</v>
      </c>
      <c r="O37">
        <f t="shared" ca="1" si="2"/>
        <v>1.0642712484728409</v>
      </c>
      <c r="P37">
        <f ca="1">PRODUCT(O37:$O$52)</f>
        <v>3.0709114583895967</v>
      </c>
      <c r="Q37">
        <f t="shared" ca="1" si="3"/>
        <v>32040.252343636759</v>
      </c>
    </row>
    <row r="38" spans="1:24">
      <c r="A38" s="91">
        <v>19360</v>
      </c>
      <c r="B38">
        <v>26.540001</v>
      </c>
      <c r="C38">
        <v>26.66</v>
      </c>
      <c r="D38">
        <v>25.860001</v>
      </c>
      <c r="E38">
        <v>26.379999000000002</v>
      </c>
      <c r="F38">
        <v>26.379999000000002</v>
      </c>
      <c r="G38">
        <v>34060000</v>
      </c>
      <c r="H38" s="93">
        <f t="shared" si="4"/>
        <v>1.0334891355140188</v>
      </c>
      <c r="I38">
        <f t="shared" si="5"/>
        <v>1.1151261392910143</v>
      </c>
      <c r="J38">
        <f t="shared" si="6"/>
        <v>3.3356178734455705E-2</v>
      </c>
      <c r="K38" s="91">
        <v>19360</v>
      </c>
      <c r="L38">
        <v>61</v>
      </c>
      <c r="M38">
        <f t="shared" si="7"/>
        <v>119405.2296529</v>
      </c>
      <c r="N38">
        <f t="shared" si="1"/>
        <v>10746.470668761</v>
      </c>
      <c r="O38">
        <f t="shared" ca="1" si="2"/>
        <v>1.3746589697664782</v>
      </c>
      <c r="P38">
        <f ca="1">PRODUCT(O38:$O$52)</f>
        <v>2.8854593815215361</v>
      </c>
      <c r="Q38">
        <f t="shared" ca="1" si="3"/>
        <v>31008.504609422442</v>
      </c>
    </row>
    <row r="39" spans="1:24">
      <c r="A39" s="91">
        <v>19391</v>
      </c>
      <c r="B39">
        <v>26.51</v>
      </c>
      <c r="C39">
        <v>26.540001</v>
      </c>
      <c r="D39">
        <v>25.48</v>
      </c>
      <c r="E39">
        <v>25.9</v>
      </c>
      <c r="F39">
        <v>25.9</v>
      </c>
      <c r="G39">
        <v>30170000</v>
      </c>
      <c r="H39" s="93">
        <f t="shared" si="4"/>
        <v>0.99886959310966117</v>
      </c>
      <c r="I39">
        <f t="shared" si="5"/>
        <v>1.0909465469525328</v>
      </c>
      <c r="J39">
        <f t="shared" si="6"/>
        <v>3.3281883717365623E-2</v>
      </c>
      <c r="K39" s="91">
        <v>19391</v>
      </c>
      <c r="L39">
        <v>62</v>
      </c>
      <c r="M39">
        <f t="shared" si="7"/>
        <v>122987.386542487</v>
      </c>
      <c r="N39">
        <f t="shared" si="1"/>
        <v>11068.86478882383</v>
      </c>
      <c r="O39">
        <f t="shared" ca="1" si="2"/>
        <v>0.94009043179764762</v>
      </c>
      <c r="P39">
        <f ca="1">PRODUCT(O39:$O$52)</f>
        <v>2.0990365210447122</v>
      </c>
      <c r="Q39">
        <f t="shared" ca="1" si="3"/>
        <v>23233.951438247084</v>
      </c>
    </row>
    <row r="40" spans="1:24">
      <c r="A40" s="91">
        <v>19419</v>
      </c>
      <c r="B40">
        <v>25.93</v>
      </c>
      <c r="C40">
        <v>26.33</v>
      </c>
      <c r="D40">
        <v>25.290001</v>
      </c>
      <c r="E40">
        <v>25.290001</v>
      </c>
      <c r="F40">
        <v>25.290001</v>
      </c>
      <c r="G40">
        <v>42510000</v>
      </c>
      <c r="H40" s="93">
        <f t="shared" si="4"/>
        <v>0.97812146359864194</v>
      </c>
      <c r="I40">
        <f t="shared" si="5"/>
        <v>1.1138315672752763</v>
      </c>
      <c r="J40">
        <f t="shared" si="6"/>
        <v>3.0976011834049456E-2</v>
      </c>
      <c r="K40" s="91">
        <v>19419</v>
      </c>
      <c r="L40">
        <v>63</v>
      </c>
      <c r="M40">
        <f t="shared" si="7"/>
        <v>126677.00813876161</v>
      </c>
      <c r="N40">
        <f t="shared" si="1"/>
        <v>11400.930732488545</v>
      </c>
      <c r="O40">
        <f t="shared" ca="1" si="2"/>
        <v>0.86930350386930344</v>
      </c>
      <c r="P40">
        <f ca="1">PRODUCT(O40:$O$52)</f>
        <v>2.2328027709322811</v>
      </c>
      <c r="Q40">
        <f t="shared" ca="1" si="3"/>
        <v>25456.029730707425</v>
      </c>
    </row>
    <row r="41" spans="1:24">
      <c r="A41" s="91">
        <v>19450</v>
      </c>
      <c r="B41">
        <v>25.25</v>
      </c>
      <c r="C41">
        <v>25.25</v>
      </c>
      <c r="D41">
        <v>24.190000999999999</v>
      </c>
      <c r="E41">
        <v>24.620000999999998</v>
      </c>
      <c r="F41">
        <v>24.620000999999998</v>
      </c>
      <c r="G41">
        <v>34370000</v>
      </c>
      <c r="H41" s="93">
        <f t="shared" si="4"/>
        <v>0.97377554955649825</v>
      </c>
      <c r="I41">
        <f t="shared" si="5"/>
        <v>1.044251447477254</v>
      </c>
      <c r="J41">
        <f t="shared" si="6"/>
        <v>3.1078700142069426E-2</v>
      </c>
      <c r="K41" s="91">
        <v>19450</v>
      </c>
      <c r="L41">
        <v>64</v>
      </c>
      <c r="M41">
        <f t="shared" si="7"/>
        <v>130477.31838292447</v>
      </c>
      <c r="N41">
        <f t="shared" si="1"/>
        <v>11742.958654463202</v>
      </c>
      <c r="O41">
        <f t="shared" ca="1" si="2"/>
        <v>1.2327249516023639</v>
      </c>
      <c r="P41">
        <f ca="1">PRODUCT(O41:$O$52)</f>
        <v>2.5684962282953991</v>
      </c>
      <c r="Q41">
        <f t="shared" ca="1" si="3"/>
        <v>30161.745013017549</v>
      </c>
    </row>
    <row r="42" spans="1:24">
      <c r="A42" s="91">
        <v>19480</v>
      </c>
      <c r="B42">
        <v>24.73</v>
      </c>
      <c r="C42">
        <v>25.059999000000001</v>
      </c>
      <c r="D42">
        <v>24.459999</v>
      </c>
      <c r="E42">
        <v>24.540001</v>
      </c>
      <c r="F42">
        <v>24.540001</v>
      </c>
      <c r="G42">
        <v>25730000</v>
      </c>
      <c r="H42" s="93">
        <f t="shared" si="4"/>
        <v>0.97940594059405939</v>
      </c>
      <c r="I42">
        <f t="shared" si="5"/>
        <v>1.0673284419507985</v>
      </c>
      <c r="J42">
        <f t="shared" si="6"/>
        <v>2.8754514278393411E-2</v>
      </c>
      <c r="K42" s="91">
        <v>19480</v>
      </c>
      <c r="L42">
        <v>65</v>
      </c>
      <c r="M42">
        <f t="shared" si="7"/>
        <v>134391.6379344122</v>
      </c>
      <c r="N42">
        <f t="shared" si="1"/>
        <v>12095.247414097097</v>
      </c>
      <c r="O42">
        <f t="shared" ca="1" si="2"/>
        <v>0.90743687963640562</v>
      </c>
      <c r="P42">
        <f ca="1">PRODUCT(O42:$O$52)</f>
        <v>2.0835923090197257</v>
      </c>
      <c r="Q42">
        <f t="shared" ca="1" si="3"/>
        <v>25201.564487703436</v>
      </c>
    </row>
    <row r="43" spans="1:24">
      <c r="A43" s="91">
        <v>19511</v>
      </c>
      <c r="B43">
        <v>24.15</v>
      </c>
      <c r="C43">
        <v>24.219999000000001</v>
      </c>
      <c r="D43">
        <v>23.540001</v>
      </c>
      <c r="E43">
        <v>24.139999</v>
      </c>
      <c r="F43">
        <v>24.139999</v>
      </c>
      <c r="G43">
        <v>26080000</v>
      </c>
      <c r="H43" s="93">
        <f t="shared" si="4"/>
        <v>0.97654670440760205</v>
      </c>
      <c r="I43">
        <f t="shared" si="5"/>
        <v>1.0147059249876438</v>
      </c>
      <c r="J43">
        <f t="shared" si="6"/>
        <v>2.9047678029197745E-2</v>
      </c>
      <c r="K43" s="91">
        <v>19511</v>
      </c>
      <c r="L43">
        <v>66</v>
      </c>
      <c r="M43">
        <f t="shared" si="7"/>
        <v>138423.38707244457</v>
      </c>
      <c r="N43">
        <f t="shared" si="1"/>
        <v>12458.104836520011</v>
      </c>
      <c r="O43">
        <f t="shared" ca="1" si="2"/>
        <v>1.1235863706919142</v>
      </c>
      <c r="P43">
        <f ca="1">PRODUCT(O43:$O$52)</f>
        <v>2.2961291917676805</v>
      </c>
      <c r="Q43">
        <f t="shared" ca="1" si="3"/>
        <v>28605.418189235726</v>
      </c>
    </row>
    <row r="44" spans="1:24">
      <c r="A44" s="91">
        <v>19541</v>
      </c>
      <c r="B44">
        <v>24.24</v>
      </c>
      <c r="C44">
        <v>24.75</v>
      </c>
      <c r="D44">
        <v>24.07</v>
      </c>
      <c r="E44">
        <v>24.75</v>
      </c>
      <c r="F44">
        <v>24.75</v>
      </c>
      <c r="G44">
        <v>22240000</v>
      </c>
      <c r="H44" s="93">
        <f t="shared" si="4"/>
        <v>1.0037267080745342</v>
      </c>
      <c r="I44">
        <f t="shared" si="5"/>
        <v>0.96496811445190622</v>
      </c>
      <c r="J44">
        <f t="shared" si="6"/>
        <v>2.3667462759255846E-2</v>
      </c>
      <c r="K44" s="91">
        <v>19541</v>
      </c>
      <c r="L44">
        <v>67</v>
      </c>
      <c r="M44">
        <f t="shared" si="7"/>
        <v>142576.08868461792</v>
      </c>
      <c r="N44">
        <f t="shared" si="1"/>
        <v>12831.847981615612</v>
      </c>
      <c r="O44">
        <f t="shared" ca="1" si="2"/>
        <v>1.1407197331176708</v>
      </c>
      <c r="P44">
        <f ca="1">PRODUCT(O44:$O$52)</f>
        <v>2.0435715950823643</v>
      </c>
      <c r="Q44">
        <f t="shared" ca="1" si="3"/>
        <v>26222.800047644632</v>
      </c>
    </row>
    <row r="45" spans="1:24">
      <c r="A45" s="91">
        <v>19572</v>
      </c>
      <c r="B45">
        <v>24.84</v>
      </c>
      <c r="C45">
        <v>24.84</v>
      </c>
      <c r="D45">
        <v>23.32</v>
      </c>
      <c r="E45">
        <v>23.32</v>
      </c>
      <c r="F45">
        <v>23.32</v>
      </c>
      <c r="G45">
        <v>23890000</v>
      </c>
      <c r="H45" s="93">
        <f t="shared" si="4"/>
        <v>1.0247524752475248</v>
      </c>
      <c r="I45">
        <f t="shared" si="5"/>
        <v>0.97603139583373688</v>
      </c>
      <c r="J45">
        <f t="shared" si="6"/>
        <v>2.4594006018007618E-2</v>
      </c>
      <c r="K45" s="91">
        <v>19572</v>
      </c>
      <c r="L45">
        <v>68</v>
      </c>
      <c r="M45">
        <f t="shared" si="7"/>
        <v>146853.37134515645</v>
      </c>
      <c r="N45">
        <f t="shared" si="1"/>
        <v>13216.80342106408</v>
      </c>
      <c r="O45">
        <f t="shared" ca="1" si="2"/>
        <v>1.26703201826484</v>
      </c>
      <c r="P45">
        <f ca="1">PRODUCT(O45:$O$52)</f>
        <v>1.7914756234619817</v>
      </c>
      <c r="Q45">
        <f t="shared" ca="1" si="3"/>
        <v>23677.581148925226</v>
      </c>
    </row>
    <row r="46" spans="1:24">
      <c r="A46" s="91">
        <v>19603</v>
      </c>
      <c r="B46">
        <v>23.42</v>
      </c>
      <c r="C46">
        <v>23.65</v>
      </c>
      <c r="D46">
        <v>22.709999</v>
      </c>
      <c r="E46">
        <v>23.35</v>
      </c>
      <c r="F46">
        <v>23.35</v>
      </c>
      <c r="G46">
        <v>27150000</v>
      </c>
      <c r="H46" s="93">
        <f t="shared" si="4"/>
        <v>0.94283413848631248</v>
      </c>
      <c r="I46">
        <f t="shared" si="5"/>
        <v>0.93121272365805186</v>
      </c>
      <c r="J46">
        <f t="shared" si="6"/>
        <v>2.9314226001203703E-2</v>
      </c>
      <c r="K46" s="91">
        <v>19603</v>
      </c>
      <c r="L46">
        <v>69</v>
      </c>
      <c r="M46">
        <f t="shared" si="7"/>
        <v>151258.97248551116</v>
      </c>
      <c r="N46">
        <f t="shared" si="1"/>
        <v>13613.307523696003</v>
      </c>
      <c r="O46">
        <f t="shared" ca="1" si="2"/>
        <v>1.1572457299628431</v>
      </c>
      <c r="P46">
        <f ca="1">PRODUCT(O46:$O$52)</f>
        <v>1.413915037376364</v>
      </c>
      <c r="Q46">
        <f t="shared" ca="1" si="3"/>
        <v>19248.060216182574</v>
      </c>
    </row>
    <row r="47" spans="1:24">
      <c r="A47" s="91">
        <v>19633</v>
      </c>
      <c r="B47">
        <v>23.49</v>
      </c>
      <c r="C47">
        <v>24.58</v>
      </c>
      <c r="D47">
        <v>23.389999</v>
      </c>
      <c r="E47">
        <v>24.540001</v>
      </c>
      <c r="F47">
        <v>24.540001</v>
      </c>
      <c r="G47">
        <v>25710000</v>
      </c>
      <c r="H47" s="93">
        <f t="shared" si="4"/>
        <v>1.0029888983774551</v>
      </c>
      <c r="I47">
        <f t="shared" si="5"/>
        <v>0.95955882352941169</v>
      </c>
      <c r="J47">
        <f t="shared" si="6"/>
        <v>2.8613587779123279E-2</v>
      </c>
      <c r="K47" s="91">
        <v>19633</v>
      </c>
      <c r="L47">
        <v>70</v>
      </c>
      <c r="M47">
        <f t="shared" si="7"/>
        <v>155796.74166007648</v>
      </c>
      <c r="N47">
        <f t="shared" si="1"/>
        <v>14021.706749406883</v>
      </c>
      <c r="O47">
        <f t="shared" ca="1" si="2"/>
        <v>0.97603139583373688</v>
      </c>
      <c r="P47">
        <f ca="1">PRODUCT(O47:$O$52)</f>
        <v>1.2217932637537252</v>
      </c>
      <c r="Q47">
        <f t="shared" ca="1" si="3"/>
        <v>17131.626852755475</v>
      </c>
    </row>
    <row r="48" spans="1:24">
      <c r="A48" s="91">
        <v>19664</v>
      </c>
      <c r="B48">
        <v>24.66</v>
      </c>
      <c r="C48">
        <v>24.76</v>
      </c>
      <c r="D48">
        <v>24.25</v>
      </c>
      <c r="E48">
        <v>24.76</v>
      </c>
      <c r="F48">
        <v>24.76</v>
      </c>
      <c r="G48">
        <v>26640000</v>
      </c>
      <c r="H48" s="93">
        <f t="shared" si="4"/>
        <v>1.0498084291187739</v>
      </c>
      <c r="I48">
        <f t="shared" si="5"/>
        <v>1.0024390243902439</v>
      </c>
      <c r="J48">
        <f t="shared" si="6"/>
        <v>3.2431015167662877E-2</v>
      </c>
      <c r="K48" s="91">
        <v>19664</v>
      </c>
      <c r="L48">
        <v>71</v>
      </c>
      <c r="M48">
        <f t="shared" si="7"/>
        <v>160470.6439098788</v>
      </c>
      <c r="N48">
        <f t="shared" si="1"/>
        <v>14442.357951889091</v>
      </c>
      <c r="O48">
        <f t="shared" ca="1" si="2"/>
        <v>1.044251447477254</v>
      </c>
      <c r="P48">
        <f ca="1">PRODUCT(O48:$O$52)</f>
        <v>1.2517970927667299</v>
      </c>
      <c r="Q48">
        <f t="shared" ca="1" si="3"/>
        <v>18078.901696871228</v>
      </c>
      <c r="V48" s="6"/>
      <c r="W48" s="6"/>
      <c r="X48" s="6"/>
    </row>
    <row r="49" spans="1:24">
      <c r="A49" s="91">
        <v>19694</v>
      </c>
      <c r="B49">
        <v>24.780000999999999</v>
      </c>
      <c r="C49">
        <v>24.99</v>
      </c>
      <c r="D49">
        <v>24.549999</v>
      </c>
      <c r="E49">
        <v>24.809999000000001</v>
      </c>
      <c r="F49">
        <v>24.809999000000001</v>
      </c>
      <c r="G49">
        <v>36150000</v>
      </c>
      <c r="H49" s="93">
        <f t="shared" si="4"/>
        <v>1.0048662206001622</v>
      </c>
      <c r="I49">
        <f t="shared" si="5"/>
        <v>0.96495330996884732</v>
      </c>
      <c r="J49">
        <f t="shared" si="6"/>
        <v>2.9530012207584874E-2</v>
      </c>
      <c r="K49" s="91">
        <v>19694</v>
      </c>
      <c r="L49">
        <v>72</v>
      </c>
      <c r="M49">
        <f t="shared" si="7"/>
        <v>165284.76322717516</v>
      </c>
      <c r="N49">
        <f t="shared" si="1"/>
        <v>14875.628690445765</v>
      </c>
      <c r="O49">
        <f t="shared" ca="1" si="2"/>
        <v>1.1196048332719968</v>
      </c>
      <c r="P49">
        <f ca="1">PRODUCT(O49:$O$52)</f>
        <v>1.198750641706912</v>
      </c>
      <c r="Q49">
        <f t="shared" ca="1" si="3"/>
        <v>17832.169438465611</v>
      </c>
      <c r="T49" t="s">
        <v>100</v>
      </c>
      <c r="V49" s="6"/>
      <c r="W49" s="6"/>
      <c r="X49" s="6"/>
    </row>
    <row r="50" spans="1:24">
      <c r="A50" s="91">
        <v>19725</v>
      </c>
      <c r="B50">
        <v>24.950001</v>
      </c>
      <c r="C50">
        <v>26.09</v>
      </c>
      <c r="D50">
        <v>24.799999</v>
      </c>
      <c r="E50">
        <v>26.08</v>
      </c>
      <c r="F50">
        <v>26.08</v>
      </c>
      <c r="G50">
        <v>33420000</v>
      </c>
      <c r="H50" s="93">
        <f t="shared" si="4"/>
        <v>1.0068603709902999</v>
      </c>
      <c r="I50">
        <f t="shared" si="5"/>
        <v>0.94009043179764762</v>
      </c>
      <c r="J50">
        <f t="shared" si="6"/>
        <v>2.7505255103111928E-2</v>
      </c>
      <c r="K50" s="91">
        <v>19725</v>
      </c>
      <c r="L50">
        <v>73</v>
      </c>
      <c r="M50">
        <f t="shared" si="7"/>
        <v>170243.30612399042</v>
      </c>
      <c r="N50">
        <f t="shared" si="1"/>
        <v>15321.897551159138</v>
      </c>
      <c r="O50">
        <f t="shared" ca="1" si="2"/>
        <v>1.0018981334620241</v>
      </c>
      <c r="P50">
        <f ca="1">PRODUCT(O50:$O$52)</f>
        <v>1.0706908420568488</v>
      </c>
      <c r="Q50">
        <f t="shared" ca="1" si="3"/>
        <v>16405.015390959346</v>
      </c>
      <c r="V50" s="6"/>
      <c r="W50" s="6"/>
      <c r="X50" s="6"/>
    </row>
    <row r="51" spans="1:24">
      <c r="A51" s="91">
        <v>19756</v>
      </c>
      <c r="B51">
        <v>25.99</v>
      </c>
      <c r="C51">
        <v>26.299999</v>
      </c>
      <c r="D51">
        <v>25.809999000000001</v>
      </c>
      <c r="E51">
        <v>26.15</v>
      </c>
      <c r="F51">
        <v>26.15</v>
      </c>
      <c r="G51">
        <v>33260000</v>
      </c>
      <c r="H51" s="93">
        <f t="shared" si="4"/>
        <v>1.0416833249826323</v>
      </c>
      <c r="I51">
        <f t="shared" si="5"/>
        <v>0.98038476046774792</v>
      </c>
      <c r="J51">
        <f t="shared" si="6"/>
        <v>3.0622771172370365E-2</v>
      </c>
      <c r="K51" s="91">
        <v>19756</v>
      </c>
      <c r="L51">
        <v>74</v>
      </c>
      <c r="M51">
        <f t="shared" si="7"/>
        <v>175350.60530771012</v>
      </c>
      <c r="N51">
        <f t="shared" si="1"/>
        <v>15781.554477693911</v>
      </c>
      <c r="O51">
        <f t="shared" ca="1" si="2"/>
        <v>1.0686623782371107</v>
      </c>
      <c r="P51">
        <f ca="1">PRODUCT(O51:$O$52)</f>
        <v>1.0686623782371107</v>
      </c>
      <c r="Q51">
        <f t="shared" ca="1" si="3"/>
        <v>16865.153540410898</v>
      </c>
      <c r="V51" s="6"/>
      <c r="W51" s="6"/>
      <c r="X51" s="6"/>
    </row>
    <row r="52" spans="1:24" ht="15.75" thickBot="1">
      <c r="A52" s="91">
        <v>19784</v>
      </c>
      <c r="B52">
        <v>26.25</v>
      </c>
      <c r="C52">
        <v>26.940000999999999</v>
      </c>
      <c r="D52">
        <v>26.25</v>
      </c>
      <c r="E52">
        <v>26.940000999999999</v>
      </c>
      <c r="F52">
        <v>26.940000999999999</v>
      </c>
      <c r="G52">
        <v>44050000</v>
      </c>
      <c r="H52" s="93">
        <f t="shared" si="4"/>
        <v>1.0100038476337054</v>
      </c>
      <c r="I52">
        <f t="shared" si="5"/>
        <v>1.0123409178557656</v>
      </c>
      <c r="J52">
        <f t="shared" si="6"/>
        <v>3.0045016766877861E-2</v>
      </c>
      <c r="K52" s="91">
        <v>19784</v>
      </c>
      <c r="V52" s="6"/>
      <c r="W52" s="6"/>
      <c r="X52" s="6"/>
    </row>
    <row r="53" spans="1:24">
      <c r="A53" s="91">
        <v>19815</v>
      </c>
      <c r="B53">
        <v>27.17</v>
      </c>
      <c r="C53">
        <v>28.26</v>
      </c>
      <c r="D53">
        <v>27.01</v>
      </c>
      <c r="E53">
        <v>28.26</v>
      </c>
      <c r="F53">
        <v>28.26</v>
      </c>
      <c r="G53">
        <v>43500000</v>
      </c>
      <c r="H53" s="93">
        <f t="shared" si="4"/>
        <v>1.0350476190476192</v>
      </c>
      <c r="I53">
        <f t="shared" si="5"/>
        <v>1.0760396039603961</v>
      </c>
      <c r="J53">
        <f t="shared" si="6"/>
        <v>3.0122941698853496E-2</v>
      </c>
      <c r="K53" s="91">
        <v>19815</v>
      </c>
      <c r="T53" s="99"/>
      <c r="V53" s="95" t="s">
        <v>97</v>
      </c>
      <c r="W53" s="95" t="s">
        <v>99</v>
      </c>
      <c r="X53" s="6"/>
    </row>
    <row r="54" spans="1:24">
      <c r="A54" s="91">
        <v>19845</v>
      </c>
      <c r="B54">
        <v>28.209999</v>
      </c>
      <c r="C54">
        <v>29.190000999999999</v>
      </c>
      <c r="D54">
        <v>28.209999</v>
      </c>
      <c r="E54">
        <v>29.190000999999999</v>
      </c>
      <c r="F54">
        <v>29.190000999999999</v>
      </c>
      <c r="G54">
        <v>41900000</v>
      </c>
      <c r="H54" s="93">
        <f t="shared" si="4"/>
        <v>1.0382774751564225</v>
      </c>
      <c r="I54">
        <f t="shared" si="5"/>
        <v>1.1407197331176708</v>
      </c>
      <c r="J54">
        <f t="shared" si="6"/>
        <v>3.009539090968405E-2</v>
      </c>
      <c r="K54" s="91">
        <v>19845</v>
      </c>
      <c r="P54" s="94" t="s">
        <v>93</v>
      </c>
      <c r="Q54" s="94">
        <f ca="1">SUM(Q2:$Q$51)</f>
        <v>5093642.3516890062</v>
      </c>
      <c r="R54" s="93" t="s">
        <v>94</v>
      </c>
      <c r="S54" s="93"/>
      <c r="T54" s="99">
        <f>T55-S56</f>
        <v>343508.85475098155</v>
      </c>
      <c r="V54" s="99">
        <v>343508.85475098155</v>
      </c>
      <c r="W54">
        <v>0</v>
      </c>
      <c r="X54" s="6"/>
    </row>
    <row r="55" spans="1:24">
      <c r="A55" s="91">
        <v>19876</v>
      </c>
      <c r="B55">
        <v>29.190000999999999</v>
      </c>
      <c r="C55">
        <v>29.43</v>
      </c>
      <c r="D55">
        <v>28.15</v>
      </c>
      <c r="E55">
        <v>29.209999</v>
      </c>
      <c r="F55">
        <v>29.209999</v>
      </c>
      <c r="G55">
        <v>42230000</v>
      </c>
      <c r="H55" s="93">
        <f t="shared" si="4"/>
        <v>1.0347395262225993</v>
      </c>
      <c r="I55">
        <f t="shared" si="5"/>
        <v>1.2086956935817805</v>
      </c>
      <c r="J55">
        <f t="shared" si="6"/>
        <v>2.8611911766878304E-2</v>
      </c>
      <c r="K55" s="91">
        <v>19876</v>
      </c>
      <c r="R55" s="93" t="s">
        <v>95</v>
      </c>
      <c r="S55" s="97">
        <v>4632131.4343126984</v>
      </c>
      <c r="T55" s="98">
        <f>S55</f>
        <v>4632131.4343126984</v>
      </c>
      <c r="V55" s="99">
        <v>4632131.4343126984</v>
      </c>
      <c r="W55">
        <v>656</v>
      </c>
      <c r="X55" s="6"/>
    </row>
    <row r="56" spans="1:24">
      <c r="A56" s="91">
        <v>19906</v>
      </c>
      <c r="B56">
        <v>29.209999</v>
      </c>
      <c r="C56">
        <v>30.879999000000002</v>
      </c>
      <c r="D56">
        <v>29.209999</v>
      </c>
      <c r="E56">
        <v>30.879999000000002</v>
      </c>
      <c r="F56">
        <v>30.879999000000002</v>
      </c>
      <c r="G56">
        <v>51840000</v>
      </c>
      <c r="H56" s="93">
        <f t="shared" si="4"/>
        <v>1.0006850976127066</v>
      </c>
      <c r="I56">
        <f t="shared" si="5"/>
        <v>1.2050329620462046</v>
      </c>
      <c r="J56">
        <f t="shared" si="6"/>
        <v>2.8746568874524175E-2</v>
      </c>
      <c r="K56" s="91">
        <v>19906</v>
      </c>
      <c r="R56" s="93" t="s">
        <v>96</v>
      </c>
      <c r="S56" s="97">
        <v>4288622.5795617169</v>
      </c>
      <c r="T56" s="99">
        <f>T55+$S$56</f>
        <v>8920754.0138744153</v>
      </c>
      <c r="V56" s="99">
        <v>8920754.0138744153</v>
      </c>
      <c r="W56">
        <v>225</v>
      </c>
      <c r="X56" s="6"/>
    </row>
    <row r="57" spans="1:24">
      <c r="A57" s="91">
        <v>19937</v>
      </c>
      <c r="B57">
        <v>30.99</v>
      </c>
      <c r="C57">
        <v>31.209999</v>
      </c>
      <c r="D57">
        <v>29.83</v>
      </c>
      <c r="E57">
        <v>29.83</v>
      </c>
      <c r="F57">
        <v>29.83</v>
      </c>
      <c r="G57">
        <v>56900000</v>
      </c>
      <c r="H57" s="93">
        <f t="shared" si="4"/>
        <v>1.0609380712406049</v>
      </c>
      <c r="I57">
        <f t="shared" si="5"/>
        <v>1.2475845410628019</v>
      </c>
      <c r="J57">
        <f t="shared" si="6"/>
        <v>3.1508186448387862E-2</v>
      </c>
      <c r="K57" s="91">
        <v>19937</v>
      </c>
      <c r="T57" s="99">
        <f>T56+$S$56</f>
        <v>13209376.593436133</v>
      </c>
      <c r="V57" s="99">
        <v>13209376.593436133</v>
      </c>
      <c r="W57">
        <v>74</v>
      </c>
      <c r="X57" s="6"/>
    </row>
    <row r="58" spans="1:24">
      <c r="A58" s="91">
        <v>19968</v>
      </c>
      <c r="B58">
        <v>30.040001</v>
      </c>
      <c r="C58">
        <v>32.689999</v>
      </c>
      <c r="D58">
        <v>30.040001</v>
      </c>
      <c r="E58">
        <v>32.310001</v>
      </c>
      <c r="F58">
        <v>32.310001</v>
      </c>
      <c r="G58">
        <v>41220000</v>
      </c>
      <c r="H58" s="93">
        <f t="shared" si="4"/>
        <v>0.96934498225233956</v>
      </c>
      <c r="I58">
        <f t="shared" si="5"/>
        <v>1.2826644321093081</v>
      </c>
      <c r="J58">
        <f t="shared" si="6"/>
        <v>2.6151653362399541E-2</v>
      </c>
      <c r="K58" s="91">
        <v>19968</v>
      </c>
      <c r="P58" s="93" t="s">
        <v>101</v>
      </c>
      <c r="Q58" s="93"/>
      <c r="T58" s="99">
        <f>T57+$S$56</f>
        <v>17497999.172997851</v>
      </c>
      <c r="V58" s="99">
        <v>17497999.172997851</v>
      </c>
      <c r="W58">
        <v>29</v>
      </c>
      <c r="X58" s="6"/>
    </row>
    <row r="59" spans="1:24" ht="15.75" thickBot="1">
      <c r="A59" s="91">
        <v>19998</v>
      </c>
      <c r="B59">
        <v>32.290000999999997</v>
      </c>
      <c r="C59">
        <v>32.759998000000003</v>
      </c>
      <c r="D59">
        <v>31.68</v>
      </c>
      <c r="E59">
        <v>31.68</v>
      </c>
      <c r="F59">
        <v>31.68</v>
      </c>
      <c r="G59">
        <v>44170000</v>
      </c>
      <c r="H59" s="93">
        <f t="shared" si="4"/>
        <v>1.0749001306624455</v>
      </c>
      <c r="I59">
        <f t="shared" si="5"/>
        <v>1.3746275436355895</v>
      </c>
      <c r="J59">
        <f t="shared" si="6"/>
        <v>2.9594239614652879E-2</v>
      </c>
      <c r="K59" s="91">
        <v>19998</v>
      </c>
      <c r="Q59">
        <v>1916083.9846008804</v>
      </c>
      <c r="T59" s="99"/>
      <c r="V59" s="22" t="s">
        <v>98</v>
      </c>
      <c r="W59" s="22">
        <v>16</v>
      </c>
      <c r="X59" s="6"/>
    </row>
    <row r="60" spans="1:24">
      <c r="A60" s="91">
        <v>20029</v>
      </c>
      <c r="B60">
        <v>31.790001</v>
      </c>
      <c r="C60">
        <v>34.549999</v>
      </c>
      <c r="D60">
        <v>31.790001</v>
      </c>
      <c r="E60">
        <v>34.240001999999997</v>
      </c>
      <c r="F60">
        <v>34.240001999999997</v>
      </c>
      <c r="G60">
        <v>63010000</v>
      </c>
      <c r="H60" s="93">
        <f t="shared" si="4"/>
        <v>0.98451533030302485</v>
      </c>
      <c r="I60">
        <f t="shared" si="5"/>
        <v>1.2891322384428223</v>
      </c>
      <c r="J60">
        <f t="shared" si="6"/>
        <v>3.1039272074860267E-2</v>
      </c>
      <c r="K60" s="91">
        <v>20029</v>
      </c>
      <c r="Q60">
        <v>4702856.9219628843</v>
      </c>
      <c r="V60" s="6"/>
      <c r="W60" s="6"/>
      <c r="X60" s="6"/>
    </row>
    <row r="61" spans="1:24">
      <c r="A61" s="91">
        <v>20059</v>
      </c>
      <c r="B61">
        <v>33.990001999999997</v>
      </c>
      <c r="C61">
        <v>35.979999999999997</v>
      </c>
      <c r="D61">
        <v>33.990001999999997</v>
      </c>
      <c r="E61">
        <v>35.979999999999997</v>
      </c>
      <c r="F61">
        <v>35.979999999999997</v>
      </c>
      <c r="G61">
        <v>76480000</v>
      </c>
      <c r="H61" s="93">
        <f t="shared" si="4"/>
        <v>1.069204181528651</v>
      </c>
      <c r="I61">
        <f t="shared" si="5"/>
        <v>1.3716707275354831</v>
      </c>
      <c r="J61">
        <f t="shared" si="6"/>
        <v>3.3317272213120516E-2</v>
      </c>
      <c r="K61" s="91">
        <v>20059</v>
      </c>
      <c r="Q61">
        <v>1756963.5654387716</v>
      </c>
      <c r="V61" s="6"/>
      <c r="W61" s="6"/>
      <c r="X61" s="6"/>
    </row>
    <row r="62" spans="1:24" ht="15.75" thickBot="1">
      <c r="A62" s="91">
        <v>20090</v>
      </c>
      <c r="B62">
        <v>36.75</v>
      </c>
      <c r="C62">
        <v>36.75</v>
      </c>
      <c r="D62">
        <v>34.580002</v>
      </c>
      <c r="E62">
        <v>36.630001</v>
      </c>
      <c r="F62">
        <v>36.630001</v>
      </c>
      <c r="G62">
        <v>74650000</v>
      </c>
      <c r="H62" s="93">
        <f t="shared" si="4"/>
        <v>1.0812002894262849</v>
      </c>
      <c r="I62">
        <f t="shared" si="5"/>
        <v>1.4729458327476619</v>
      </c>
      <c r="J62">
        <f t="shared" si="6"/>
        <v>3.5998384922874618E-2</v>
      </c>
      <c r="K62" s="91">
        <v>20090</v>
      </c>
      <c r="Q62">
        <v>16122251.429036826</v>
      </c>
      <c r="V62" s="6"/>
      <c r="W62" s="6"/>
      <c r="X62" s="6"/>
    </row>
    <row r="63" spans="1:24">
      <c r="A63" s="91">
        <v>20121</v>
      </c>
      <c r="B63">
        <v>36.720001000000003</v>
      </c>
      <c r="C63">
        <v>37.150002000000001</v>
      </c>
      <c r="D63">
        <v>36.439999</v>
      </c>
      <c r="E63">
        <v>36.759998000000003</v>
      </c>
      <c r="F63">
        <v>36.759998000000003</v>
      </c>
      <c r="G63">
        <v>60810000</v>
      </c>
      <c r="H63" s="93">
        <f t="shared" si="4"/>
        <v>0.99918370068027218</v>
      </c>
      <c r="I63">
        <f t="shared" si="5"/>
        <v>1.4128511350519433</v>
      </c>
      <c r="J63">
        <f t="shared" si="6"/>
        <v>3.7178319505279042E-2</v>
      </c>
      <c r="K63" s="91">
        <v>20121</v>
      </c>
      <c r="Q63">
        <v>589491.09167583706</v>
      </c>
      <c r="V63" s="95" t="s">
        <v>97</v>
      </c>
      <c r="W63" s="95" t="s">
        <v>99</v>
      </c>
      <c r="X63" s="6"/>
    </row>
    <row r="64" spans="1:24">
      <c r="A64" s="91">
        <v>20149</v>
      </c>
      <c r="B64">
        <v>36.830002</v>
      </c>
      <c r="C64">
        <v>37.520000000000003</v>
      </c>
      <c r="D64">
        <v>34.959999000000003</v>
      </c>
      <c r="E64">
        <v>36.580002</v>
      </c>
      <c r="F64">
        <v>36.580002</v>
      </c>
      <c r="G64">
        <v>65780000</v>
      </c>
      <c r="H64" s="93">
        <f t="shared" si="4"/>
        <v>1.0029956698530591</v>
      </c>
      <c r="I64">
        <f t="shared" si="5"/>
        <v>1.4030476952380952</v>
      </c>
      <c r="J64">
        <f t="shared" si="6"/>
        <v>3.7571153909708617E-2</v>
      </c>
      <c r="K64" s="91">
        <v>20149</v>
      </c>
      <c r="Q64">
        <v>2844588.9276047726</v>
      </c>
      <c r="V64">
        <v>360069.03051329736</v>
      </c>
      <c r="W64">
        <v>1</v>
      </c>
      <c r="X64" s="6"/>
    </row>
    <row r="65" spans="1:24">
      <c r="A65" s="91">
        <v>20180</v>
      </c>
      <c r="B65">
        <v>36.950001</v>
      </c>
      <c r="C65">
        <v>38.32</v>
      </c>
      <c r="D65">
        <v>36.830002</v>
      </c>
      <c r="E65">
        <v>37.959999000000003</v>
      </c>
      <c r="F65">
        <v>37.959999000000003</v>
      </c>
      <c r="G65">
        <v>53790000</v>
      </c>
      <c r="H65" s="93">
        <f t="shared" si="4"/>
        <v>1.0032581860842691</v>
      </c>
      <c r="I65">
        <f t="shared" si="5"/>
        <v>1.3599558704453441</v>
      </c>
      <c r="J65">
        <f t="shared" si="6"/>
        <v>3.8240180679980383E-2</v>
      </c>
      <c r="K65" s="91">
        <v>20180</v>
      </c>
      <c r="Q65">
        <v>4443027.0742734438</v>
      </c>
      <c r="V65">
        <v>2005744.5572152107</v>
      </c>
      <c r="W65">
        <v>253</v>
      </c>
      <c r="X65" s="6"/>
    </row>
    <row r="66" spans="1:24">
      <c r="A66" s="91">
        <v>20210</v>
      </c>
      <c r="B66">
        <v>38.040000999999997</v>
      </c>
      <c r="C66">
        <v>38.040000999999997</v>
      </c>
      <c r="D66">
        <v>36.970001000000003</v>
      </c>
      <c r="E66">
        <v>37.909999999999997</v>
      </c>
      <c r="F66">
        <v>37.909999999999997</v>
      </c>
      <c r="G66">
        <v>45450000</v>
      </c>
      <c r="H66" s="93">
        <f t="shared" si="4"/>
        <v>1.0294993226116556</v>
      </c>
      <c r="I66">
        <f t="shared" si="5"/>
        <v>1.348458076868418</v>
      </c>
      <c r="J66">
        <f t="shared" si="6"/>
        <v>3.808018967570688E-2</v>
      </c>
      <c r="K66" s="91">
        <v>20210</v>
      </c>
      <c r="Q66">
        <v>3945647.8490174073</v>
      </c>
      <c r="V66">
        <v>3651420.0839171242</v>
      </c>
      <c r="W66">
        <v>293</v>
      </c>
      <c r="X66" s="6"/>
    </row>
    <row r="67" spans="1:24">
      <c r="A67" s="91">
        <v>20241</v>
      </c>
      <c r="B67">
        <v>37.959999000000003</v>
      </c>
      <c r="C67">
        <v>41.029998999999997</v>
      </c>
      <c r="D67">
        <v>37.959999000000003</v>
      </c>
      <c r="E67">
        <v>41.029998999999997</v>
      </c>
      <c r="F67">
        <v>41.029998999999997</v>
      </c>
      <c r="G67">
        <v>58120000</v>
      </c>
      <c r="H67" s="93">
        <f t="shared" si="4"/>
        <v>0.99789689805738979</v>
      </c>
      <c r="I67">
        <f t="shared" si="5"/>
        <v>1.300445279189953</v>
      </c>
      <c r="J67">
        <f t="shared" si="6"/>
        <v>3.8779060273279688E-2</v>
      </c>
      <c r="K67" s="91">
        <v>20241</v>
      </c>
      <c r="Q67">
        <v>2724518.6004767506</v>
      </c>
      <c r="V67">
        <v>5297095.6106190383</v>
      </c>
      <c r="W67">
        <v>182</v>
      </c>
    </row>
    <row r="68" spans="1:24">
      <c r="A68" s="91">
        <v>20271</v>
      </c>
      <c r="B68">
        <v>41.189999</v>
      </c>
      <c r="C68">
        <v>43.759998000000003</v>
      </c>
      <c r="D68">
        <v>41.189999</v>
      </c>
      <c r="E68">
        <v>43.52</v>
      </c>
      <c r="F68">
        <v>43.52</v>
      </c>
      <c r="G68">
        <v>48470000</v>
      </c>
      <c r="H68" s="93">
        <f t="shared" ref="H68:H131" si="8">B68/B67</f>
        <v>1.0850895702078389</v>
      </c>
      <c r="I68">
        <f t="shared" si="5"/>
        <v>1.4101335299600661</v>
      </c>
      <c r="J68">
        <f t="shared" si="6"/>
        <v>4.192949553499456E-2</v>
      </c>
      <c r="K68" s="91">
        <v>20271</v>
      </c>
      <c r="Q68">
        <v>8487007.3638419285</v>
      </c>
      <c r="V68">
        <v>6942771.1373209516</v>
      </c>
      <c r="W68">
        <v>85</v>
      </c>
    </row>
    <row r="69" spans="1:24">
      <c r="A69" s="91">
        <v>20302</v>
      </c>
      <c r="B69">
        <v>42.93</v>
      </c>
      <c r="C69">
        <v>43.18</v>
      </c>
      <c r="D69">
        <v>41.740001999999997</v>
      </c>
      <c r="E69">
        <v>43.18</v>
      </c>
      <c r="F69">
        <v>43.18</v>
      </c>
      <c r="G69">
        <v>41800000</v>
      </c>
      <c r="H69" s="93">
        <f t="shared" si="8"/>
        <v>1.0422432882312038</v>
      </c>
      <c r="I69">
        <f t="shared" si="5"/>
        <v>1.3852855759922555</v>
      </c>
      <c r="J69">
        <f t="shared" si="6"/>
        <v>4.1005951105038053E-2</v>
      </c>
      <c r="K69" s="91">
        <v>20302</v>
      </c>
      <c r="Q69">
        <v>1421529.2689496055</v>
      </c>
      <c r="V69">
        <v>8588446.6640228648</v>
      </c>
      <c r="W69">
        <v>55</v>
      </c>
    </row>
    <row r="70" spans="1:24">
      <c r="A70" s="91">
        <v>20333</v>
      </c>
      <c r="B70">
        <v>43.369999</v>
      </c>
      <c r="C70">
        <v>45.630001</v>
      </c>
      <c r="D70">
        <v>42.610000999999997</v>
      </c>
      <c r="E70">
        <v>43.669998</v>
      </c>
      <c r="F70">
        <v>43.669998</v>
      </c>
      <c r="G70">
        <v>60080000</v>
      </c>
      <c r="H70" s="93">
        <f t="shared" si="8"/>
        <v>1.0102492196599115</v>
      </c>
      <c r="I70">
        <f t="shared" si="5"/>
        <v>1.4437415964133955</v>
      </c>
      <c r="J70">
        <f t="shared" si="6"/>
        <v>3.7183702740214299E-2</v>
      </c>
      <c r="K70" s="91">
        <v>20333</v>
      </c>
      <c r="Q70">
        <v>1536089.4182862227</v>
      </c>
      <c r="V70">
        <v>10234122.190724779</v>
      </c>
      <c r="W70">
        <v>51</v>
      </c>
    </row>
    <row r="71" spans="1:24">
      <c r="A71" s="91">
        <v>20363</v>
      </c>
      <c r="B71">
        <v>42.490001999999997</v>
      </c>
      <c r="C71">
        <v>42.990001999999997</v>
      </c>
      <c r="D71">
        <v>40.799999</v>
      </c>
      <c r="E71">
        <v>42.34</v>
      </c>
      <c r="F71">
        <v>42.34</v>
      </c>
      <c r="G71">
        <v>42150000</v>
      </c>
      <c r="H71" s="93">
        <f t="shared" si="8"/>
        <v>0.97970954530111931</v>
      </c>
      <c r="I71">
        <f t="shared" si="5"/>
        <v>1.3158872927876342</v>
      </c>
      <c r="J71">
        <f t="shared" si="6"/>
        <v>3.7280206937762066E-2</v>
      </c>
      <c r="K71" s="91">
        <v>20363</v>
      </c>
      <c r="Q71">
        <v>6082103.7831427772</v>
      </c>
      <c r="V71">
        <v>11879797.717426691</v>
      </c>
      <c r="W71">
        <v>21</v>
      </c>
    </row>
    <row r="72" spans="1:24">
      <c r="A72" s="91">
        <v>20394</v>
      </c>
      <c r="B72">
        <v>42.279998999999997</v>
      </c>
      <c r="C72">
        <v>46.41</v>
      </c>
      <c r="D72">
        <v>42.279998999999997</v>
      </c>
      <c r="E72">
        <v>45.509998000000003</v>
      </c>
      <c r="F72">
        <v>45.509998000000003</v>
      </c>
      <c r="G72">
        <v>46360000</v>
      </c>
      <c r="H72" s="93">
        <f t="shared" si="8"/>
        <v>0.99505759025382012</v>
      </c>
      <c r="I72">
        <f t="shared" si="5"/>
        <v>1.3299779072042179</v>
      </c>
      <c r="J72">
        <f t="shared" si="6"/>
        <v>3.6384944648531321E-2</v>
      </c>
      <c r="K72" s="91">
        <v>20394</v>
      </c>
      <c r="Q72">
        <v>2704962.5475841742</v>
      </c>
      <c r="V72">
        <v>13525473.244128605</v>
      </c>
      <c r="W72">
        <v>16</v>
      </c>
    </row>
    <row r="73" spans="1:24">
      <c r="A73" s="91">
        <v>20424</v>
      </c>
      <c r="B73">
        <v>45.349997999999999</v>
      </c>
      <c r="C73">
        <v>45.889999000000003</v>
      </c>
      <c r="D73">
        <v>44.950001</v>
      </c>
      <c r="E73">
        <v>45.48</v>
      </c>
      <c r="F73">
        <v>45.48</v>
      </c>
      <c r="G73">
        <v>50990000</v>
      </c>
      <c r="H73" s="93">
        <f t="shared" si="8"/>
        <v>1.0726111417363091</v>
      </c>
      <c r="I73">
        <f t="shared" si="5"/>
        <v>1.3342158085192228</v>
      </c>
      <c r="J73">
        <f t="shared" si="6"/>
        <v>3.6775554623008438E-2</v>
      </c>
      <c r="K73" s="91">
        <v>20424</v>
      </c>
      <c r="Q73">
        <v>8903004.7539696004</v>
      </c>
      <c r="V73">
        <v>15171148.770830519</v>
      </c>
      <c r="W73">
        <v>11</v>
      </c>
    </row>
    <row r="74" spans="1:24">
      <c r="A74" s="91">
        <v>20455</v>
      </c>
      <c r="B74">
        <v>45.16</v>
      </c>
      <c r="C74">
        <v>45.16</v>
      </c>
      <c r="D74">
        <v>43.110000999999997</v>
      </c>
      <c r="E74">
        <v>43.82</v>
      </c>
      <c r="F74">
        <v>43.82</v>
      </c>
      <c r="G74">
        <v>47160000</v>
      </c>
      <c r="H74" s="93">
        <f t="shared" si="8"/>
        <v>0.99581040775349094</v>
      </c>
      <c r="I74">
        <f t="shared" si="5"/>
        <v>1.228843537414966</v>
      </c>
      <c r="J74">
        <f t="shared" si="6"/>
        <v>3.2957941526219045E-2</v>
      </c>
      <c r="K74" s="91">
        <v>20455</v>
      </c>
      <c r="Q74">
        <v>6356429.3738039024</v>
      </c>
      <c r="V74">
        <v>16816824.297532432</v>
      </c>
      <c r="W74">
        <v>15</v>
      </c>
    </row>
    <row r="75" spans="1:24">
      <c r="A75" s="91">
        <v>20486</v>
      </c>
      <c r="B75">
        <v>44.029998999999997</v>
      </c>
      <c r="C75">
        <v>45.43</v>
      </c>
      <c r="D75">
        <v>43.419998</v>
      </c>
      <c r="E75">
        <v>45.34</v>
      </c>
      <c r="F75">
        <v>45.34</v>
      </c>
      <c r="G75">
        <v>46370000</v>
      </c>
      <c r="H75" s="93">
        <f t="shared" si="8"/>
        <v>0.97497783436669616</v>
      </c>
      <c r="I75">
        <f t="shared" si="5"/>
        <v>1.1990740141864373</v>
      </c>
      <c r="J75">
        <f t="shared" si="6"/>
        <v>3.4885328507418926E-2</v>
      </c>
      <c r="K75" s="91">
        <v>20486</v>
      </c>
      <c r="Q75">
        <v>8846982.6830641534</v>
      </c>
      <c r="V75">
        <v>18462499.824234344</v>
      </c>
      <c r="W75">
        <v>4</v>
      </c>
    </row>
    <row r="76" spans="1:24">
      <c r="A76" s="91">
        <v>20515</v>
      </c>
      <c r="B76">
        <v>45.540000999999997</v>
      </c>
      <c r="C76">
        <v>48.869999</v>
      </c>
      <c r="D76">
        <v>45.540000999999997</v>
      </c>
      <c r="E76">
        <v>48.48</v>
      </c>
      <c r="F76">
        <v>48.48</v>
      </c>
      <c r="G76">
        <v>60310000</v>
      </c>
      <c r="H76" s="93">
        <f t="shared" si="8"/>
        <v>1.0342948452031535</v>
      </c>
      <c r="I76">
        <f t="shared" si="5"/>
        <v>1.236491950231227</v>
      </c>
      <c r="J76">
        <f t="shared" si="6"/>
        <v>3.5012166346779269E-2</v>
      </c>
      <c r="K76" s="91">
        <v>20515</v>
      </c>
      <c r="Q76">
        <v>2975464.5415759725</v>
      </c>
      <c r="V76">
        <v>20108175.35093626</v>
      </c>
      <c r="W76">
        <v>1</v>
      </c>
    </row>
    <row r="77" spans="1:24">
      <c r="A77" s="91">
        <v>20546</v>
      </c>
      <c r="B77">
        <v>48.700001</v>
      </c>
      <c r="C77">
        <v>48.849997999999999</v>
      </c>
      <c r="D77">
        <v>47.09</v>
      </c>
      <c r="E77">
        <v>48.380001</v>
      </c>
      <c r="F77">
        <v>48.380001</v>
      </c>
      <c r="G77">
        <v>54100000</v>
      </c>
      <c r="H77" s="93">
        <f t="shared" si="8"/>
        <v>1.0693895461267118</v>
      </c>
      <c r="I77">
        <f t="shared" si="5"/>
        <v>1.317997285033903</v>
      </c>
      <c r="J77">
        <f t="shared" si="6"/>
        <v>3.7527818160361139E-2</v>
      </c>
      <c r="K77" s="91">
        <v>20546</v>
      </c>
      <c r="Q77">
        <v>3782154.1801815024</v>
      </c>
      <c r="V77">
        <v>21753850.877638172</v>
      </c>
      <c r="W77">
        <v>4</v>
      </c>
    </row>
    <row r="78" spans="1:24">
      <c r="A78" s="91">
        <v>20576</v>
      </c>
      <c r="B78">
        <v>48.16</v>
      </c>
      <c r="C78">
        <v>48.509998000000003</v>
      </c>
      <c r="D78">
        <v>44.099997999999999</v>
      </c>
      <c r="E78">
        <v>45.200001</v>
      </c>
      <c r="F78">
        <v>45.200001</v>
      </c>
      <c r="G78">
        <v>53210000</v>
      </c>
      <c r="H78" s="93">
        <f t="shared" si="8"/>
        <v>0.98891168400592022</v>
      </c>
      <c r="I78">
        <f t="shared" si="5"/>
        <v>1.2660357185584723</v>
      </c>
      <c r="J78">
        <f t="shared" si="6"/>
        <v>3.8785489586656105E-2</v>
      </c>
      <c r="K78" s="91">
        <v>20576</v>
      </c>
      <c r="Q78">
        <v>817748.44567039562</v>
      </c>
      <c r="V78">
        <v>23399526.404340085</v>
      </c>
      <c r="W78">
        <v>3</v>
      </c>
    </row>
    <row r="79" spans="1:24">
      <c r="A79" s="91">
        <v>20607</v>
      </c>
      <c r="B79">
        <v>45.580002</v>
      </c>
      <c r="C79">
        <v>47.130001</v>
      </c>
      <c r="D79">
        <v>45.139999000000003</v>
      </c>
      <c r="E79">
        <v>46.970001000000003</v>
      </c>
      <c r="F79">
        <v>46.970001000000003</v>
      </c>
      <c r="G79">
        <v>37180000</v>
      </c>
      <c r="H79" s="93">
        <f t="shared" si="8"/>
        <v>0.94642861295681069</v>
      </c>
      <c r="I79">
        <f t="shared" si="5"/>
        <v>1.2007377028645336</v>
      </c>
      <c r="J79">
        <f t="shared" ref="J79:J142" si="9">_xlfn.STDEV.S(H68:H79)</f>
        <v>4.4008728367126257E-2</v>
      </c>
      <c r="K79" s="91">
        <v>20607</v>
      </c>
      <c r="Q79">
        <v>8309349.7505282219</v>
      </c>
      <c r="V79">
        <v>25045201.931042001</v>
      </c>
      <c r="W79">
        <v>2</v>
      </c>
    </row>
    <row r="80" spans="1:24">
      <c r="A80" s="91">
        <v>20637</v>
      </c>
      <c r="B80">
        <v>46.93</v>
      </c>
      <c r="C80">
        <v>49.48</v>
      </c>
      <c r="D80">
        <v>46.93</v>
      </c>
      <c r="E80">
        <v>49.389999000000003</v>
      </c>
      <c r="F80">
        <v>49.389999000000003</v>
      </c>
      <c r="G80">
        <v>45650000</v>
      </c>
      <c r="H80" s="93">
        <f t="shared" si="8"/>
        <v>1.0296182084415002</v>
      </c>
      <c r="I80">
        <f t="shared" ref="I80:I143" si="10">B80/B68</f>
        <v>1.1393542398483671</v>
      </c>
      <c r="J80">
        <f t="shared" si="9"/>
        <v>3.871311004045825E-2</v>
      </c>
      <c r="K80" s="91">
        <v>20637</v>
      </c>
      <c r="Q80">
        <v>2858332.9309415389</v>
      </c>
      <c r="V80">
        <v>26690877.457743913</v>
      </c>
      <c r="W80">
        <v>0</v>
      </c>
    </row>
    <row r="81" spans="1:23">
      <c r="A81" s="91">
        <v>20668</v>
      </c>
      <c r="B81">
        <v>49.619999</v>
      </c>
      <c r="C81">
        <v>49.639999000000003</v>
      </c>
      <c r="D81">
        <v>46.939999</v>
      </c>
      <c r="E81">
        <v>47.509998000000003</v>
      </c>
      <c r="F81">
        <v>47.509998000000003</v>
      </c>
      <c r="G81">
        <v>44450000</v>
      </c>
      <c r="H81" s="93">
        <f t="shared" si="8"/>
        <v>1.0573193905817175</v>
      </c>
      <c r="I81">
        <f t="shared" si="10"/>
        <v>1.1558350570696483</v>
      </c>
      <c r="J81">
        <f t="shared" si="9"/>
        <v>4.0020231814351701E-2</v>
      </c>
      <c r="K81" s="91">
        <v>20668</v>
      </c>
      <c r="Q81">
        <v>4777832.5872222185</v>
      </c>
      <c r="V81">
        <v>28336552.984445825</v>
      </c>
      <c r="W81">
        <v>0</v>
      </c>
    </row>
    <row r="82" spans="1:23">
      <c r="A82" s="91">
        <v>20699</v>
      </c>
      <c r="B82">
        <v>47.889999000000003</v>
      </c>
      <c r="C82">
        <v>48.099997999999999</v>
      </c>
      <c r="D82">
        <v>45.349997999999999</v>
      </c>
      <c r="E82">
        <v>45.349997999999999</v>
      </c>
      <c r="F82">
        <v>45.349997999999999</v>
      </c>
      <c r="G82">
        <v>37220000</v>
      </c>
      <c r="H82" s="93">
        <f t="shared" si="8"/>
        <v>0.96513502549647379</v>
      </c>
      <c r="I82">
        <f t="shared" si="10"/>
        <v>1.1042195089743949</v>
      </c>
      <c r="J82">
        <f t="shared" si="9"/>
        <v>4.2340067286374322E-2</v>
      </c>
      <c r="K82" s="91">
        <v>20699</v>
      </c>
      <c r="Q82">
        <v>5771841.4905242408</v>
      </c>
      <c r="V82">
        <v>29982228.511147741</v>
      </c>
      <c r="W82">
        <v>0</v>
      </c>
    </row>
    <row r="83" spans="1:23">
      <c r="A83" s="91">
        <v>20729</v>
      </c>
      <c r="B83">
        <v>44.700001</v>
      </c>
      <c r="C83">
        <v>47</v>
      </c>
      <c r="D83">
        <v>44.700001</v>
      </c>
      <c r="E83">
        <v>45.580002</v>
      </c>
      <c r="F83">
        <v>45.580002</v>
      </c>
      <c r="G83">
        <v>40300000</v>
      </c>
      <c r="H83" s="93">
        <f t="shared" si="8"/>
        <v>0.93338905686759355</v>
      </c>
      <c r="I83">
        <f t="shared" si="10"/>
        <v>1.0520122121905291</v>
      </c>
      <c r="J83">
        <f t="shared" si="9"/>
        <v>4.7106780227855277E-2</v>
      </c>
      <c r="K83" s="91">
        <v>20729</v>
      </c>
      <c r="Q83">
        <v>1796449.662222198</v>
      </c>
      <c r="V83">
        <v>31627904.037849654</v>
      </c>
      <c r="W83">
        <v>1</v>
      </c>
    </row>
    <row r="84" spans="1:23">
      <c r="A84" s="91">
        <v>20760</v>
      </c>
      <c r="B84">
        <v>46.52</v>
      </c>
      <c r="C84">
        <v>47.599997999999999</v>
      </c>
      <c r="D84">
        <v>44.380001</v>
      </c>
      <c r="E84">
        <v>45.080002</v>
      </c>
      <c r="F84">
        <v>45.080002</v>
      </c>
      <c r="G84">
        <v>43550000</v>
      </c>
      <c r="H84" s="93">
        <f t="shared" si="8"/>
        <v>1.0407158603866697</v>
      </c>
      <c r="I84">
        <f t="shared" si="10"/>
        <v>1.1002838481618697</v>
      </c>
      <c r="J84">
        <f t="shared" si="9"/>
        <v>4.8043717038646051E-2</v>
      </c>
      <c r="K84" s="91">
        <v>20760</v>
      </c>
      <c r="Q84">
        <v>3843865.163361317</v>
      </c>
      <c r="V84">
        <v>33273579.564551566</v>
      </c>
      <c r="W84">
        <v>0</v>
      </c>
    </row>
    <row r="85" spans="1:23">
      <c r="A85" s="91">
        <v>20790</v>
      </c>
      <c r="B85">
        <v>45.98</v>
      </c>
      <c r="C85">
        <v>47.040000999999997</v>
      </c>
      <c r="D85">
        <v>45.84</v>
      </c>
      <c r="E85">
        <v>46.669998</v>
      </c>
      <c r="F85">
        <v>46.669998</v>
      </c>
      <c r="G85">
        <v>46330000</v>
      </c>
      <c r="H85" s="93">
        <f t="shared" si="8"/>
        <v>0.98839208942390355</v>
      </c>
      <c r="I85">
        <f t="shared" si="10"/>
        <v>1.0138919962025135</v>
      </c>
      <c r="J85">
        <f t="shared" si="9"/>
        <v>4.3886080490642645E-2</v>
      </c>
      <c r="K85" s="91">
        <v>20790</v>
      </c>
      <c r="Q85">
        <v>7971523.5126894861</v>
      </c>
      <c r="V85">
        <v>34919255.091253474</v>
      </c>
      <c r="W85">
        <v>0</v>
      </c>
    </row>
    <row r="86" spans="1:23">
      <c r="A86" s="91">
        <v>20821</v>
      </c>
      <c r="B86">
        <v>46.200001</v>
      </c>
      <c r="C86">
        <v>46.66</v>
      </c>
      <c r="D86">
        <v>44.400002000000001</v>
      </c>
      <c r="E86">
        <v>44.720001000000003</v>
      </c>
      <c r="F86">
        <v>44.720001000000003</v>
      </c>
      <c r="G86">
        <v>48140000</v>
      </c>
      <c r="H86" s="93">
        <f t="shared" si="8"/>
        <v>1.0047847107438017</v>
      </c>
      <c r="I86">
        <f t="shared" si="10"/>
        <v>1.0230292515500443</v>
      </c>
      <c r="J86">
        <f t="shared" si="9"/>
        <v>4.3846870436067512E-2</v>
      </c>
      <c r="K86" s="91">
        <v>20821</v>
      </c>
      <c r="Q86">
        <v>4389607.0680620335</v>
      </c>
      <c r="V86">
        <v>36564930.617955387</v>
      </c>
      <c r="W86">
        <v>0</v>
      </c>
    </row>
    <row r="87" spans="1:23">
      <c r="A87" s="91">
        <v>20852</v>
      </c>
      <c r="B87">
        <v>44.619999</v>
      </c>
      <c r="C87">
        <v>44.619999</v>
      </c>
      <c r="D87">
        <v>42.389999000000003</v>
      </c>
      <c r="E87">
        <v>43.259998000000003</v>
      </c>
      <c r="F87">
        <v>43.259998000000003</v>
      </c>
      <c r="G87">
        <v>37530000</v>
      </c>
      <c r="H87" s="93">
        <f t="shared" si="8"/>
        <v>0.96580082325106442</v>
      </c>
      <c r="I87">
        <f t="shared" si="10"/>
        <v>1.0133999548807622</v>
      </c>
      <c r="J87">
        <f t="shared" si="9"/>
        <v>4.4451715063740314E-2</v>
      </c>
      <c r="K87" s="91">
        <v>20852</v>
      </c>
      <c r="Q87">
        <v>2081773.1568049102</v>
      </c>
      <c r="V87">
        <v>38210606.144657306</v>
      </c>
      <c r="W87">
        <v>0</v>
      </c>
    </row>
    <row r="88" spans="1:23">
      <c r="A88" s="91">
        <v>20880</v>
      </c>
      <c r="B88">
        <v>43.740001999999997</v>
      </c>
      <c r="C88">
        <v>44.23</v>
      </c>
      <c r="D88">
        <v>43.740001999999997</v>
      </c>
      <c r="E88">
        <v>44.110000999999997</v>
      </c>
      <c r="F88">
        <v>44.110000999999997</v>
      </c>
      <c r="G88">
        <v>35620000</v>
      </c>
      <c r="H88" s="93">
        <f t="shared" si="8"/>
        <v>0.9802779690783946</v>
      </c>
      <c r="I88">
        <f t="shared" si="10"/>
        <v>0.96047433112704583</v>
      </c>
      <c r="J88">
        <f t="shared" si="9"/>
        <v>4.3612822939458507E-2</v>
      </c>
      <c r="K88" s="91">
        <v>20880</v>
      </c>
      <c r="Q88">
        <v>23175050.677689664</v>
      </c>
      <c r="V88">
        <v>39856281.671359219</v>
      </c>
      <c r="W88">
        <v>0</v>
      </c>
    </row>
    <row r="89" spans="1:23">
      <c r="A89" s="91">
        <v>20911</v>
      </c>
      <c r="B89">
        <v>44.139999000000003</v>
      </c>
      <c r="C89">
        <v>45.740001999999997</v>
      </c>
      <c r="D89">
        <v>44.139999000000003</v>
      </c>
      <c r="E89">
        <v>45.740001999999997</v>
      </c>
      <c r="F89">
        <v>45.740001999999997</v>
      </c>
      <c r="G89">
        <v>48290000</v>
      </c>
      <c r="H89" s="93">
        <f t="shared" si="8"/>
        <v>1.0091448784112997</v>
      </c>
      <c r="I89">
        <f t="shared" si="10"/>
        <v>0.90636546393500084</v>
      </c>
      <c r="J89">
        <f t="shared" si="9"/>
        <v>3.7646130643803823E-2</v>
      </c>
      <c r="K89" s="91">
        <v>20911</v>
      </c>
      <c r="Q89">
        <v>30538982.536399886</v>
      </c>
      <c r="V89">
        <v>41501957.198061131</v>
      </c>
      <c r="W89">
        <v>0</v>
      </c>
    </row>
    <row r="90" spans="1:23">
      <c r="A90" s="91">
        <v>20941</v>
      </c>
      <c r="B90">
        <v>46.02</v>
      </c>
      <c r="C90">
        <v>47.43</v>
      </c>
      <c r="D90">
        <v>46.02</v>
      </c>
      <c r="E90">
        <v>47.43</v>
      </c>
      <c r="F90">
        <v>47.43</v>
      </c>
      <c r="G90">
        <v>52560000</v>
      </c>
      <c r="H90" s="93">
        <f t="shared" si="8"/>
        <v>1.0425917771316668</v>
      </c>
      <c r="I90">
        <f t="shared" si="10"/>
        <v>0.95556478405315626</v>
      </c>
      <c r="J90">
        <f t="shared" si="9"/>
        <v>4.0279088069293111E-2</v>
      </c>
      <c r="K90" s="91">
        <v>20941</v>
      </c>
      <c r="Q90">
        <v>754163.65790759865</v>
      </c>
      <c r="V90">
        <v>43147632.724763043</v>
      </c>
      <c r="W90">
        <v>1</v>
      </c>
    </row>
    <row r="91" spans="1:23">
      <c r="A91" s="91">
        <v>20972</v>
      </c>
      <c r="B91">
        <v>47.369999</v>
      </c>
      <c r="C91">
        <v>48.240001999999997</v>
      </c>
      <c r="D91">
        <v>46.779998999999997</v>
      </c>
      <c r="E91">
        <v>47.369999</v>
      </c>
      <c r="F91">
        <v>47.369999</v>
      </c>
      <c r="G91">
        <v>43470000</v>
      </c>
      <c r="H91" s="93">
        <f t="shared" si="8"/>
        <v>1.0293350499782703</v>
      </c>
      <c r="I91">
        <f t="shared" si="10"/>
        <v>1.0392715428138857</v>
      </c>
      <c r="J91">
        <f t="shared" si="9"/>
        <v>3.7860154099946641E-2</v>
      </c>
      <c r="K91" s="91">
        <v>20972</v>
      </c>
      <c r="Q91">
        <v>6053323.9875274664</v>
      </c>
      <c r="V91">
        <v>44793308.251464956</v>
      </c>
      <c r="W91">
        <v>0</v>
      </c>
    </row>
    <row r="92" spans="1:23">
      <c r="A92" s="91">
        <v>21002</v>
      </c>
      <c r="B92">
        <v>47.43</v>
      </c>
      <c r="C92">
        <v>49.130001</v>
      </c>
      <c r="D92">
        <v>47.43</v>
      </c>
      <c r="E92">
        <v>47.91</v>
      </c>
      <c r="F92">
        <v>47.91</v>
      </c>
      <c r="G92">
        <v>48230000</v>
      </c>
      <c r="H92" s="93">
        <f t="shared" si="8"/>
        <v>1.0012666455829986</v>
      </c>
      <c r="I92">
        <f t="shared" si="10"/>
        <v>1.0106541657788195</v>
      </c>
      <c r="J92">
        <f t="shared" si="9"/>
        <v>3.6982100454950442E-2</v>
      </c>
      <c r="K92" s="91">
        <v>21002</v>
      </c>
      <c r="Q92">
        <v>1961063.2094891777</v>
      </c>
      <c r="V92">
        <v>46438983.778166868</v>
      </c>
      <c r="W92">
        <v>0</v>
      </c>
    </row>
    <row r="93" spans="1:23">
      <c r="A93" s="91">
        <v>21033</v>
      </c>
      <c r="B93">
        <v>47.790000999999997</v>
      </c>
      <c r="C93">
        <v>47.790000999999997</v>
      </c>
      <c r="D93">
        <v>43.889999000000003</v>
      </c>
      <c r="E93">
        <v>45.220001000000003</v>
      </c>
      <c r="F93">
        <v>45.220001000000003</v>
      </c>
      <c r="G93">
        <v>41390000</v>
      </c>
      <c r="H93" s="93">
        <f t="shared" si="8"/>
        <v>1.0075901539110268</v>
      </c>
      <c r="I93">
        <f t="shared" si="10"/>
        <v>0.96311974935751199</v>
      </c>
      <c r="J93">
        <f t="shared" si="9"/>
        <v>3.2698215427495562E-2</v>
      </c>
      <c r="K93" s="91">
        <v>21033</v>
      </c>
      <c r="Q93">
        <v>656402.04987424018</v>
      </c>
      <c r="V93">
        <v>48084659.304868788</v>
      </c>
      <c r="W93">
        <v>0</v>
      </c>
    </row>
    <row r="94" spans="1:23">
      <c r="A94" s="91">
        <v>21064</v>
      </c>
      <c r="B94">
        <v>45.439999</v>
      </c>
      <c r="C94">
        <v>45.439999</v>
      </c>
      <c r="D94">
        <v>42.419998</v>
      </c>
      <c r="E94">
        <v>42.419998</v>
      </c>
      <c r="F94">
        <v>42.419998</v>
      </c>
      <c r="G94">
        <v>36890000</v>
      </c>
      <c r="H94" s="93">
        <f t="shared" si="8"/>
        <v>0.95082649192662716</v>
      </c>
      <c r="I94">
        <f t="shared" si="10"/>
        <v>0.94884109310589038</v>
      </c>
      <c r="J94">
        <f t="shared" si="9"/>
        <v>3.4206606935303828E-2</v>
      </c>
      <c r="K94" s="91">
        <v>21064</v>
      </c>
      <c r="Q94">
        <v>757664.99325951934</v>
      </c>
      <c r="V94">
        <v>49730334.8315707</v>
      </c>
      <c r="W94">
        <v>0</v>
      </c>
    </row>
    <row r="95" spans="1:23" ht="15.75" thickBot="1">
      <c r="A95" s="91">
        <v>21094</v>
      </c>
      <c r="B95">
        <v>42.759998000000003</v>
      </c>
      <c r="C95">
        <v>43.139999000000003</v>
      </c>
      <c r="D95">
        <v>38.979999999999997</v>
      </c>
      <c r="E95">
        <v>41.060001</v>
      </c>
      <c r="F95">
        <v>41.060001</v>
      </c>
      <c r="G95">
        <v>63960000</v>
      </c>
      <c r="H95" s="93">
        <f t="shared" si="8"/>
        <v>0.94102110345557011</v>
      </c>
      <c r="I95">
        <f t="shared" si="10"/>
        <v>0.95659948642954173</v>
      </c>
      <c r="J95">
        <f t="shared" si="9"/>
        <v>3.2982110097615647E-2</v>
      </c>
      <c r="K95" s="91">
        <v>21094</v>
      </c>
      <c r="Q95">
        <v>1178515.7673035201</v>
      </c>
      <c r="V95" s="22" t="s">
        <v>98</v>
      </c>
      <c r="W95" s="22">
        <v>1</v>
      </c>
    </row>
    <row r="96" spans="1:23">
      <c r="A96" s="91">
        <v>21125</v>
      </c>
      <c r="B96">
        <v>40.439999</v>
      </c>
      <c r="C96">
        <v>41.720001000000003</v>
      </c>
      <c r="D96">
        <v>39.439999</v>
      </c>
      <c r="E96">
        <v>41.720001000000003</v>
      </c>
      <c r="F96">
        <v>41.720001000000003</v>
      </c>
      <c r="G96">
        <v>48200000</v>
      </c>
      <c r="H96" s="93">
        <f t="shared" si="8"/>
        <v>0.94574370653618822</v>
      </c>
      <c r="I96">
        <f t="shared" si="10"/>
        <v>0.86930350386930344</v>
      </c>
      <c r="J96">
        <f t="shared" si="9"/>
        <v>3.2883887785897438E-2</v>
      </c>
      <c r="K96" s="91">
        <v>21125</v>
      </c>
      <c r="Q96">
        <v>2783859.158119983</v>
      </c>
    </row>
    <row r="97" spans="1:17">
      <c r="A97" s="91">
        <v>21155</v>
      </c>
      <c r="B97">
        <v>41.360000999999997</v>
      </c>
      <c r="C97">
        <v>41.540000999999997</v>
      </c>
      <c r="D97">
        <v>39.380001</v>
      </c>
      <c r="E97">
        <v>39.990001999999997</v>
      </c>
      <c r="F97">
        <v>39.990001999999997</v>
      </c>
      <c r="G97">
        <v>54440000</v>
      </c>
      <c r="H97" s="93">
        <f t="shared" si="8"/>
        <v>1.0227498027386202</v>
      </c>
      <c r="I97">
        <f t="shared" si="10"/>
        <v>0.89952155284906476</v>
      </c>
      <c r="J97">
        <f t="shared" si="9"/>
        <v>3.4301036081038648E-2</v>
      </c>
      <c r="K97" s="91">
        <v>21155</v>
      </c>
      <c r="Q97">
        <v>6423662.5063762255</v>
      </c>
    </row>
    <row r="98" spans="1:17">
      <c r="A98" s="91">
        <v>21186</v>
      </c>
      <c r="B98">
        <v>40.330002</v>
      </c>
      <c r="C98">
        <v>41.880001</v>
      </c>
      <c r="D98">
        <v>40.330002</v>
      </c>
      <c r="E98">
        <v>41.700001</v>
      </c>
      <c r="F98">
        <v>41.700001</v>
      </c>
      <c r="G98">
        <v>49830000</v>
      </c>
      <c r="H98" s="93">
        <f t="shared" si="8"/>
        <v>0.97509673657889906</v>
      </c>
      <c r="I98">
        <f t="shared" si="10"/>
        <v>0.87294374733887992</v>
      </c>
      <c r="J98">
        <f t="shared" si="9"/>
        <v>3.434690669422738E-2</v>
      </c>
      <c r="K98" s="91">
        <v>21186</v>
      </c>
      <c r="Q98">
        <v>2752309.9044996938</v>
      </c>
    </row>
    <row r="99" spans="1:17">
      <c r="A99" s="91">
        <v>21217</v>
      </c>
      <c r="B99">
        <v>42.040000999999997</v>
      </c>
      <c r="C99">
        <v>42.459999000000003</v>
      </c>
      <c r="D99">
        <v>40.610000999999997</v>
      </c>
      <c r="E99">
        <v>40.840000000000003</v>
      </c>
      <c r="F99">
        <v>40.840000000000003</v>
      </c>
      <c r="G99">
        <v>40190000</v>
      </c>
      <c r="H99" s="93">
        <f t="shared" si="8"/>
        <v>1.0424001714654019</v>
      </c>
      <c r="I99">
        <f t="shared" si="10"/>
        <v>0.94217843886549613</v>
      </c>
      <c r="J99">
        <f t="shared" si="9"/>
        <v>3.6627422576929275E-2</v>
      </c>
      <c r="K99" s="91">
        <v>21217</v>
      </c>
      <c r="Q99">
        <v>3430013.499934243</v>
      </c>
    </row>
    <row r="100" spans="1:17">
      <c r="A100" s="91">
        <v>21245</v>
      </c>
      <c r="B100">
        <v>41.130001</v>
      </c>
      <c r="C100">
        <v>42.580002</v>
      </c>
      <c r="D100">
        <v>41.130001</v>
      </c>
      <c r="E100">
        <v>42.099997999999999</v>
      </c>
      <c r="F100">
        <v>42.099997999999999</v>
      </c>
      <c r="G100">
        <v>46680000</v>
      </c>
      <c r="H100" s="93">
        <f t="shared" si="8"/>
        <v>0.97835394913525342</v>
      </c>
      <c r="I100">
        <f t="shared" si="10"/>
        <v>0.94032919797305914</v>
      </c>
      <c r="J100">
        <f t="shared" si="9"/>
        <v>3.6705056480531767E-2</v>
      </c>
      <c r="K100" s="91">
        <v>21245</v>
      </c>
      <c r="Q100">
        <v>1895267.174355044</v>
      </c>
    </row>
    <row r="101" spans="1:17">
      <c r="A101" s="91">
        <v>21276</v>
      </c>
      <c r="B101">
        <v>41.93</v>
      </c>
      <c r="C101">
        <v>43.439999</v>
      </c>
      <c r="D101">
        <v>41.330002</v>
      </c>
      <c r="E101">
        <v>43.439999</v>
      </c>
      <c r="F101">
        <v>43.439999</v>
      </c>
      <c r="G101">
        <v>50270000</v>
      </c>
      <c r="H101" s="93">
        <f t="shared" si="8"/>
        <v>1.019450497946742</v>
      </c>
      <c r="I101">
        <f t="shared" si="10"/>
        <v>0.9499320559567751</v>
      </c>
      <c r="J101">
        <f t="shared" si="9"/>
        <v>3.717068631398087E-2</v>
      </c>
      <c r="K101" s="91">
        <v>21276</v>
      </c>
      <c r="Q101">
        <v>3671128.8717678632</v>
      </c>
    </row>
    <row r="102" spans="1:17">
      <c r="A102" s="91">
        <v>21306</v>
      </c>
      <c r="B102">
        <v>43.540000999999997</v>
      </c>
      <c r="C102">
        <v>44.09</v>
      </c>
      <c r="D102">
        <v>43.119999</v>
      </c>
      <c r="E102">
        <v>44.09</v>
      </c>
      <c r="F102">
        <v>44.09</v>
      </c>
      <c r="G102">
        <v>54100000</v>
      </c>
      <c r="H102" s="93">
        <f t="shared" si="8"/>
        <v>1.0383973527307417</v>
      </c>
      <c r="I102">
        <f t="shared" si="10"/>
        <v>0.94611040851803552</v>
      </c>
      <c r="J102">
        <f t="shared" si="9"/>
        <v>3.6713422120341274E-2</v>
      </c>
      <c r="K102" s="91">
        <v>21306</v>
      </c>
      <c r="Q102">
        <v>5877809.823877898</v>
      </c>
    </row>
    <row r="103" spans="1:17">
      <c r="A103" s="91">
        <v>21337</v>
      </c>
      <c r="B103">
        <v>44.310001</v>
      </c>
      <c r="C103">
        <v>45.34</v>
      </c>
      <c r="D103">
        <v>44.310001</v>
      </c>
      <c r="E103">
        <v>45.240001999999997</v>
      </c>
      <c r="F103">
        <v>45.240001999999997</v>
      </c>
      <c r="G103">
        <v>56610000</v>
      </c>
      <c r="H103" s="93">
        <f t="shared" si="8"/>
        <v>1.0176848870536315</v>
      </c>
      <c r="I103">
        <f t="shared" si="10"/>
        <v>0.93540219411868686</v>
      </c>
      <c r="J103">
        <f t="shared" si="9"/>
        <v>3.5897299294580361E-2</v>
      </c>
      <c r="K103" s="91">
        <v>21337</v>
      </c>
      <c r="Q103">
        <v>9375714.0347268768</v>
      </c>
    </row>
    <row r="104" spans="1:17">
      <c r="A104" s="91">
        <v>21367</v>
      </c>
      <c r="B104">
        <v>45.279998999999997</v>
      </c>
      <c r="C104">
        <v>47.189999</v>
      </c>
      <c r="D104">
        <v>45.110000999999997</v>
      </c>
      <c r="E104">
        <v>47.189999</v>
      </c>
      <c r="F104">
        <v>47.189999</v>
      </c>
      <c r="G104">
        <v>69430000</v>
      </c>
      <c r="H104" s="93">
        <f t="shared" si="8"/>
        <v>1.0218911753127695</v>
      </c>
      <c r="I104">
        <f t="shared" si="10"/>
        <v>0.95467001897533199</v>
      </c>
      <c r="J104">
        <f t="shared" si="9"/>
        <v>3.6706693799098453E-2</v>
      </c>
      <c r="K104" s="91">
        <v>21367</v>
      </c>
      <c r="Q104">
        <v>5716161.8993331976</v>
      </c>
    </row>
    <row r="105" spans="1:17">
      <c r="A105" s="91">
        <v>21398</v>
      </c>
      <c r="B105">
        <v>47.490001999999997</v>
      </c>
      <c r="C105">
        <v>48.16</v>
      </c>
      <c r="D105">
        <v>47.220001000000003</v>
      </c>
      <c r="E105">
        <v>47.75</v>
      </c>
      <c r="F105">
        <v>47.75</v>
      </c>
      <c r="G105">
        <v>62300000</v>
      </c>
      <c r="H105" s="93">
        <f t="shared" si="8"/>
        <v>1.0488074878270206</v>
      </c>
      <c r="I105">
        <f t="shared" si="10"/>
        <v>0.99372255715165192</v>
      </c>
      <c r="J105">
        <f t="shared" si="9"/>
        <v>3.9624006104506754E-2</v>
      </c>
      <c r="K105" s="91">
        <v>21398</v>
      </c>
      <c r="Q105">
        <v>6629599.4063910376</v>
      </c>
    </row>
    <row r="106" spans="1:17">
      <c r="A106" s="91">
        <v>21429</v>
      </c>
      <c r="B106">
        <v>48</v>
      </c>
      <c r="C106">
        <v>50.060001</v>
      </c>
      <c r="D106">
        <v>47.970001000000003</v>
      </c>
      <c r="E106">
        <v>50.060001</v>
      </c>
      <c r="F106">
        <v>50.060001</v>
      </c>
      <c r="G106">
        <v>71940000</v>
      </c>
      <c r="H106" s="93">
        <f t="shared" si="8"/>
        <v>1.0107390604026507</v>
      </c>
      <c r="I106">
        <f t="shared" si="10"/>
        <v>1.0563380514158902</v>
      </c>
      <c r="J106">
        <f t="shared" si="9"/>
        <v>3.6487419181449862E-2</v>
      </c>
      <c r="K106" s="91">
        <v>21429</v>
      </c>
      <c r="Q106">
        <v>2349500.1600906155</v>
      </c>
    </row>
    <row r="107" spans="1:17">
      <c r="A107" s="91">
        <v>21459</v>
      </c>
      <c r="B107">
        <v>49.98</v>
      </c>
      <c r="C107">
        <v>51.619999</v>
      </c>
      <c r="D107">
        <v>49.98</v>
      </c>
      <c r="E107">
        <v>51.330002</v>
      </c>
      <c r="F107">
        <v>51.330002</v>
      </c>
      <c r="G107">
        <v>95020000</v>
      </c>
      <c r="H107" s="93">
        <f t="shared" si="8"/>
        <v>1.04125</v>
      </c>
      <c r="I107">
        <f t="shared" si="10"/>
        <v>1.1688494466253248</v>
      </c>
      <c r="J107">
        <f t="shared" si="9"/>
        <v>3.1607304532642676E-2</v>
      </c>
      <c r="K107" s="91">
        <v>21459</v>
      </c>
      <c r="Q107">
        <v>7028548.5912119942</v>
      </c>
    </row>
    <row r="108" spans="1:17">
      <c r="A108" s="91">
        <v>21490</v>
      </c>
      <c r="B108">
        <v>51.560001</v>
      </c>
      <c r="C108">
        <v>53.240001999999997</v>
      </c>
      <c r="D108">
        <v>51.02</v>
      </c>
      <c r="E108">
        <v>52.48</v>
      </c>
      <c r="F108">
        <v>52.48</v>
      </c>
      <c r="G108">
        <v>74350000</v>
      </c>
      <c r="H108" s="93">
        <f t="shared" si="8"/>
        <v>1.0316126650660264</v>
      </c>
      <c r="I108">
        <f t="shared" si="10"/>
        <v>1.2749753282634848</v>
      </c>
      <c r="J108">
        <f t="shared" si="9"/>
        <v>2.3556222876878887E-2</v>
      </c>
      <c r="K108" s="91">
        <v>21490</v>
      </c>
      <c r="Q108">
        <v>1591345.3219968632</v>
      </c>
    </row>
    <row r="109" spans="1:17">
      <c r="A109" s="91">
        <v>21520</v>
      </c>
      <c r="B109">
        <v>52.689999</v>
      </c>
      <c r="C109">
        <v>55.209999000000003</v>
      </c>
      <c r="D109">
        <v>52.459999000000003</v>
      </c>
      <c r="E109">
        <v>55.209999000000003</v>
      </c>
      <c r="F109">
        <v>55.209999000000003</v>
      </c>
      <c r="G109">
        <v>75940000</v>
      </c>
      <c r="H109" s="93">
        <f t="shared" si="8"/>
        <v>1.0219161749046515</v>
      </c>
      <c r="I109">
        <f t="shared" si="10"/>
        <v>1.273936115233653</v>
      </c>
      <c r="J109">
        <f t="shared" si="9"/>
        <v>2.3550865978137703E-2</v>
      </c>
      <c r="K109" s="91">
        <v>21520</v>
      </c>
      <c r="Q109">
        <v>2477020.555967127</v>
      </c>
    </row>
    <row r="110" spans="1:17">
      <c r="A110" s="91">
        <v>21551</v>
      </c>
      <c r="B110">
        <v>55.439999</v>
      </c>
      <c r="C110">
        <v>56.040000999999997</v>
      </c>
      <c r="D110">
        <v>54.889999000000003</v>
      </c>
      <c r="E110">
        <v>55.450001</v>
      </c>
      <c r="F110">
        <v>55.450001</v>
      </c>
      <c r="G110">
        <v>83240000</v>
      </c>
      <c r="H110" s="93">
        <f t="shared" si="8"/>
        <v>1.0521920677963952</v>
      </c>
      <c r="I110">
        <f t="shared" si="10"/>
        <v>1.3746589697664782</v>
      </c>
      <c r="J110">
        <f t="shared" si="9"/>
        <v>2.0289134362269885E-2</v>
      </c>
      <c r="K110" s="91">
        <v>21551</v>
      </c>
      <c r="Q110">
        <v>2377214.4504785002</v>
      </c>
    </row>
    <row r="111" spans="1:17">
      <c r="A111" s="91">
        <v>21582</v>
      </c>
      <c r="B111">
        <v>55.209999000000003</v>
      </c>
      <c r="C111">
        <v>55.52</v>
      </c>
      <c r="D111">
        <v>53.580002</v>
      </c>
      <c r="E111">
        <v>55.41</v>
      </c>
      <c r="F111">
        <v>55.41</v>
      </c>
      <c r="G111">
        <v>65790000</v>
      </c>
      <c r="H111" s="93">
        <f t="shared" si="8"/>
        <v>0.99585137077653996</v>
      </c>
      <c r="I111">
        <f t="shared" si="10"/>
        <v>1.313273018238035</v>
      </c>
      <c r="J111">
        <f t="shared" si="9"/>
        <v>2.1502727784380223E-2</v>
      </c>
      <c r="K111" s="91">
        <v>21582</v>
      </c>
      <c r="Q111">
        <v>3214091.6319499649</v>
      </c>
    </row>
    <row r="112" spans="1:17">
      <c r="A112" s="91">
        <v>21610</v>
      </c>
      <c r="B112">
        <v>55.73</v>
      </c>
      <c r="C112">
        <v>56.669998</v>
      </c>
      <c r="D112">
        <v>55.439999</v>
      </c>
      <c r="E112">
        <v>55.439999</v>
      </c>
      <c r="F112">
        <v>55.439999</v>
      </c>
      <c r="G112">
        <v>82430000</v>
      </c>
      <c r="H112" s="93">
        <f t="shared" si="8"/>
        <v>1.0094186018731859</v>
      </c>
      <c r="I112">
        <f t="shared" si="10"/>
        <v>1.3549720069299291</v>
      </c>
      <c r="J112">
        <f t="shared" si="9"/>
        <v>1.7017885678160379E-2</v>
      </c>
      <c r="K112" s="91">
        <v>21610</v>
      </c>
      <c r="Q112">
        <v>819319.56793685805</v>
      </c>
    </row>
    <row r="113" spans="1:17">
      <c r="A113" s="91">
        <v>21641</v>
      </c>
      <c r="B113">
        <v>55.689999</v>
      </c>
      <c r="C113">
        <v>58.169998</v>
      </c>
      <c r="D113">
        <v>55.689999</v>
      </c>
      <c r="E113">
        <v>57.59</v>
      </c>
      <c r="F113">
        <v>57.59</v>
      </c>
      <c r="G113">
        <v>75840000</v>
      </c>
      <c r="H113" s="93">
        <f t="shared" si="8"/>
        <v>0.99928223577965192</v>
      </c>
      <c r="I113">
        <f t="shared" si="10"/>
        <v>1.3281659670880039</v>
      </c>
      <c r="J113">
        <f t="shared" si="9"/>
        <v>1.8619065037902758E-2</v>
      </c>
      <c r="K113" s="91">
        <v>21641</v>
      </c>
      <c r="Q113">
        <v>3316991.2933669509</v>
      </c>
    </row>
    <row r="114" spans="1:17">
      <c r="A114" s="91">
        <v>21671</v>
      </c>
      <c r="B114">
        <v>57.650002000000001</v>
      </c>
      <c r="C114">
        <v>58.68</v>
      </c>
      <c r="D114">
        <v>56.880001</v>
      </c>
      <c r="E114">
        <v>58.68</v>
      </c>
      <c r="F114">
        <v>58.68</v>
      </c>
      <c r="G114">
        <v>70950000</v>
      </c>
      <c r="H114" s="93">
        <f t="shared" si="8"/>
        <v>1.0351948830166078</v>
      </c>
      <c r="I114">
        <f t="shared" si="10"/>
        <v>1.324069836378736</v>
      </c>
      <c r="J114">
        <f t="shared" si="9"/>
        <v>1.8417158845273191E-2</v>
      </c>
      <c r="K114" s="91">
        <v>21671</v>
      </c>
      <c r="Q114">
        <v>3344280.3019744335</v>
      </c>
    </row>
    <row r="115" spans="1:17">
      <c r="A115" s="91">
        <v>21702</v>
      </c>
      <c r="B115">
        <v>58.630001</v>
      </c>
      <c r="C115">
        <v>58.630001</v>
      </c>
      <c r="D115">
        <v>56.360000999999997</v>
      </c>
      <c r="E115">
        <v>58.470001000000003</v>
      </c>
      <c r="F115">
        <v>58.470001000000003</v>
      </c>
      <c r="G115">
        <v>64310000</v>
      </c>
      <c r="H115" s="93">
        <f t="shared" si="8"/>
        <v>1.0169991147615225</v>
      </c>
      <c r="I115">
        <f t="shared" si="10"/>
        <v>1.3231776049835793</v>
      </c>
      <c r="J115">
        <f t="shared" si="9"/>
        <v>1.8438977696024473E-2</v>
      </c>
      <c r="K115" s="91">
        <v>21702</v>
      </c>
      <c r="Q115">
        <v>11574813.303075658</v>
      </c>
    </row>
    <row r="116" spans="1:17">
      <c r="A116" s="91">
        <v>21732</v>
      </c>
      <c r="B116">
        <v>58.970001000000003</v>
      </c>
      <c r="C116">
        <v>60.619999</v>
      </c>
      <c r="D116">
        <v>58.91</v>
      </c>
      <c r="E116">
        <v>60.509998000000003</v>
      </c>
      <c r="F116">
        <v>60.509998000000003</v>
      </c>
      <c r="G116">
        <v>70900000</v>
      </c>
      <c r="H116" s="93">
        <f t="shared" si="8"/>
        <v>1.005799078870901</v>
      </c>
      <c r="I116">
        <f t="shared" si="10"/>
        <v>1.3023410402460478</v>
      </c>
      <c r="J116">
        <f t="shared" si="9"/>
        <v>1.9158598519241316E-2</v>
      </c>
      <c r="K116" s="91">
        <v>21732</v>
      </c>
      <c r="Q116">
        <v>3423331.7804509383</v>
      </c>
    </row>
    <row r="117" spans="1:17">
      <c r="A117" s="91">
        <v>21763</v>
      </c>
      <c r="B117">
        <v>60.709999000000003</v>
      </c>
      <c r="C117">
        <v>60.709999000000003</v>
      </c>
      <c r="D117">
        <v>58.27</v>
      </c>
      <c r="E117">
        <v>59.599997999999999</v>
      </c>
      <c r="F117">
        <v>59.599997999999999</v>
      </c>
      <c r="G117">
        <v>51050000</v>
      </c>
      <c r="H117" s="93">
        <f t="shared" si="8"/>
        <v>1.0295064943275141</v>
      </c>
      <c r="I117">
        <f t="shared" si="10"/>
        <v>1.2783743197147055</v>
      </c>
      <c r="J117">
        <f t="shared" si="9"/>
        <v>1.7478607398553808E-2</v>
      </c>
      <c r="K117" s="91">
        <v>21763</v>
      </c>
      <c r="Q117">
        <v>16262566.350353224</v>
      </c>
    </row>
    <row r="118" spans="1:17">
      <c r="A118" s="91">
        <v>21794</v>
      </c>
      <c r="B118">
        <v>58.869999</v>
      </c>
      <c r="C118">
        <v>58.919998</v>
      </c>
      <c r="D118">
        <v>55.139999000000003</v>
      </c>
      <c r="E118">
        <v>56.880001</v>
      </c>
      <c r="F118">
        <v>56.880001</v>
      </c>
      <c r="G118">
        <v>57500000</v>
      </c>
      <c r="H118" s="93">
        <f t="shared" si="8"/>
        <v>0.96969197775806248</v>
      </c>
      <c r="I118">
        <f t="shared" si="10"/>
        <v>1.2264583124999999</v>
      </c>
      <c r="J118">
        <f t="shared" si="9"/>
        <v>2.2827470710254903E-2</v>
      </c>
      <c r="K118" s="91">
        <v>21794</v>
      </c>
      <c r="Q118">
        <v>4385699.9342327863</v>
      </c>
    </row>
    <row r="119" spans="1:17">
      <c r="A119" s="91">
        <v>21824</v>
      </c>
      <c r="B119">
        <v>56.939999</v>
      </c>
      <c r="C119">
        <v>57.52</v>
      </c>
      <c r="D119">
        <v>56</v>
      </c>
      <c r="E119">
        <v>57.52</v>
      </c>
      <c r="F119">
        <v>57.52</v>
      </c>
      <c r="G119">
        <v>61330000</v>
      </c>
      <c r="H119" s="93">
        <f t="shared" si="8"/>
        <v>0.9672158988825531</v>
      </c>
      <c r="I119">
        <f t="shared" si="10"/>
        <v>1.1392556822729092</v>
      </c>
      <c r="J119">
        <f t="shared" si="9"/>
        <v>2.5626410653369264E-2</v>
      </c>
      <c r="K119" s="91">
        <v>21824</v>
      </c>
      <c r="Q119">
        <v>3544377.2043295237</v>
      </c>
    </row>
    <row r="120" spans="1:17">
      <c r="A120" s="91">
        <v>21855</v>
      </c>
      <c r="B120">
        <v>57.41</v>
      </c>
      <c r="C120">
        <v>58.279998999999997</v>
      </c>
      <c r="D120">
        <v>56.220001000000003</v>
      </c>
      <c r="E120">
        <v>58.279998999999997</v>
      </c>
      <c r="F120">
        <v>58.279998999999997</v>
      </c>
      <c r="G120">
        <v>64500000</v>
      </c>
      <c r="H120" s="93">
        <f t="shared" si="8"/>
        <v>1.0082543204821621</v>
      </c>
      <c r="I120">
        <f t="shared" si="10"/>
        <v>1.1134600249522881</v>
      </c>
      <c r="J120">
        <f t="shared" si="9"/>
        <v>2.4811043816697288E-2</v>
      </c>
      <c r="K120" s="91">
        <v>21855</v>
      </c>
      <c r="Q120">
        <v>1787956.437268727</v>
      </c>
    </row>
    <row r="121" spans="1:17">
      <c r="A121" s="91">
        <v>21885</v>
      </c>
      <c r="B121">
        <v>58.700001</v>
      </c>
      <c r="C121">
        <v>59.889999000000003</v>
      </c>
      <c r="D121">
        <v>58.599997999999999</v>
      </c>
      <c r="E121">
        <v>59.889999000000003</v>
      </c>
      <c r="F121">
        <v>59.889999000000003</v>
      </c>
      <c r="G121">
        <v>72210000</v>
      </c>
      <c r="H121" s="93">
        <f t="shared" si="8"/>
        <v>1.0224699703884341</v>
      </c>
      <c r="I121">
        <f t="shared" si="10"/>
        <v>1.1140634297601715</v>
      </c>
      <c r="J121">
        <f t="shared" si="9"/>
        <v>2.4837192017260815E-2</v>
      </c>
      <c r="K121" s="91">
        <v>21885</v>
      </c>
      <c r="Q121">
        <v>1530750.1549698967</v>
      </c>
    </row>
    <row r="122" spans="1:17">
      <c r="A122" s="91">
        <v>21916</v>
      </c>
      <c r="B122">
        <v>59.91</v>
      </c>
      <c r="C122">
        <v>60.389999000000003</v>
      </c>
      <c r="D122">
        <v>55.610000999999997</v>
      </c>
      <c r="E122">
        <v>55.610000999999997</v>
      </c>
      <c r="F122">
        <v>55.610000999999997</v>
      </c>
      <c r="G122">
        <v>63920000</v>
      </c>
      <c r="H122" s="93">
        <f t="shared" si="8"/>
        <v>1.0206132705176614</v>
      </c>
      <c r="I122">
        <f t="shared" si="10"/>
        <v>1.0806277251195477</v>
      </c>
      <c r="J122">
        <f t="shared" si="9"/>
        <v>2.1303774290579447E-2</v>
      </c>
      <c r="K122" s="91">
        <v>21916</v>
      </c>
      <c r="Q122">
        <v>2058606.5332945834</v>
      </c>
    </row>
    <row r="123" spans="1:17">
      <c r="A123" s="91">
        <v>21947</v>
      </c>
      <c r="B123">
        <v>55.959999000000003</v>
      </c>
      <c r="C123">
        <v>56.82</v>
      </c>
      <c r="D123">
        <v>54.73</v>
      </c>
      <c r="E123">
        <v>56.119999</v>
      </c>
      <c r="F123">
        <v>56.119999</v>
      </c>
      <c r="G123">
        <v>60500000</v>
      </c>
      <c r="H123" s="93">
        <f t="shared" si="8"/>
        <v>0.93406775162744127</v>
      </c>
      <c r="I123">
        <f t="shared" si="10"/>
        <v>1.0135844958084494</v>
      </c>
      <c r="J123">
        <f t="shared" si="9"/>
        <v>2.9895195505573503E-2</v>
      </c>
      <c r="K123" s="91">
        <v>21947</v>
      </c>
      <c r="Q123">
        <v>5572420.5589882322</v>
      </c>
    </row>
    <row r="124" spans="1:17">
      <c r="A124" s="91">
        <v>21976</v>
      </c>
      <c r="B124">
        <v>56.009998000000003</v>
      </c>
      <c r="C124">
        <v>56.009998000000003</v>
      </c>
      <c r="D124">
        <v>53.470001000000003</v>
      </c>
      <c r="E124">
        <v>55.34</v>
      </c>
      <c r="F124">
        <v>55.34</v>
      </c>
      <c r="G124">
        <v>65710000</v>
      </c>
      <c r="H124" s="93">
        <f t="shared" si="8"/>
        <v>1.0008934774998834</v>
      </c>
      <c r="I124">
        <f t="shared" si="10"/>
        <v>1.0050241880495245</v>
      </c>
      <c r="J124">
        <f t="shared" si="9"/>
        <v>2.9792138592116168E-2</v>
      </c>
      <c r="K124" s="91">
        <v>21976</v>
      </c>
      <c r="Q124">
        <v>3734827.537870395</v>
      </c>
    </row>
    <row r="125" spans="1:17">
      <c r="A125" s="91">
        <v>22007</v>
      </c>
      <c r="B125">
        <v>55.43</v>
      </c>
      <c r="C125">
        <v>56.59</v>
      </c>
      <c r="D125">
        <v>54.369999</v>
      </c>
      <c r="E125">
        <v>54.369999</v>
      </c>
      <c r="F125">
        <v>54.369999</v>
      </c>
      <c r="G125">
        <v>57300000</v>
      </c>
      <c r="H125" s="93">
        <f t="shared" si="8"/>
        <v>0.98964474164059058</v>
      </c>
      <c r="I125">
        <f t="shared" si="10"/>
        <v>0.99533131613092685</v>
      </c>
      <c r="J125">
        <f t="shared" si="9"/>
        <v>2.9967113489344801E-2</v>
      </c>
      <c r="K125" s="91">
        <v>22007</v>
      </c>
      <c r="Q125">
        <v>5090704.3722895356</v>
      </c>
    </row>
    <row r="126" spans="1:17">
      <c r="A126" s="91">
        <v>22037</v>
      </c>
      <c r="B126">
        <v>54.130001</v>
      </c>
      <c r="C126">
        <v>55.830002</v>
      </c>
      <c r="D126">
        <v>54.130001</v>
      </c>
      <c r="E126">
        <v>55.830002</v>
      </c>
      <c r="F126">
        <v>55.830002</v>
      </c>
      <c r="G126">
        <v>68790000</v>
      </c>
      <c r="H126" s="93">
        <f t="shared" si="8"/>
        <v>0.97654701425221002</v>
      </c>
      <c r="I126">
        <f t="shared" si="10"/>
        <v>0.93894187549204244</v>
      </c>
      <c r="J126">
        <f t="shared" si="9"/>
        <v>2.8454859322527375E-2</v>
      </c>
      <c r="K126" s="91">
        <v>22037</v>
      </c>
      <c r="Q126">
        <v>5560875.2985850824</v>
      </c>
    </row>
    <row r="127" spans="1:17">
      <c r="A127" s="91">
        <v>22068</v>
      </c>
      <c r="B127">
        <v>55.889999000000003</v>
      </c>
      <c r="C127">
        <v>58</v>
      </c>
      <c r="D127">
        <v>55.889999000000003</v>
      </c>
      <c r="E127">
        <v>56.919998</v>
      </c>
      <c r="F127">
        <v>56.919998</v>
      </c>
      <c r="G127">
        <v>76480000</v>
      </c>
      <c r="H127" s="93">
        <f t="shared" si="8"/>
        <v>1.0325142798353173</v>
      </c>
      <c r="I127">
        <f t="shared" si="10"/>
        <v>0.95326621263404043</v>
      </c>
      <c r="J127">
        <f t="shared" si="9"/>
        <v>2.9856269805934341E-2</v>
      </c>
      <c r="K127" s="91">
        <v>22068</v>
      </c>
      <c r="Q127">
        <v>4690957.757779385</v>
      </c>
    </row>
    <row r="128" spans="1:17">
      <c r="A128" s="91">
        <v>22098</v>
      </c>
      <c r="B128">
        <v>57.060001</v>
      </c>
      <c r="C128">
        <v>57.380001</v>
      </c>
      <c r="D128">
        <v>54.169998</v>
      </c>
      <c r="E128">
        <v>55.509998000000003</v>
      </c>
      <c r="F128">
        <v>55.509998000000003</v>
      </c>
      <c r="G128">
        <v>53860000</v>
      </c>
      <c r="H128" s="93">
        <f t="shared" si="8"/>
        <v>1.0209340136148508</v>
      </c>
      <c r="I128">
        <f t="shared" si="10"/>
        <v>0.96761065003203917</v>
      </c>
      <c r="J128">
        <f t="shared" si="9"/>
        <v>3.0598271643692256E-2</v>
      </c>
      <c r="K128" s="91">
        <v>22098</v>
      </c>
      <c r="Q128">
        <v>3494802.3607023908</v>
      </c>
    </row>
    <row r="129" spans="1:17">
      <c r="A129" s="91">
        <v>22129</v>
      </c>
      <c r="B129">
        <v>55.529998999999997</v>
      </c>
      <c r="C129">
        <v>58.07</v>
      </c>
      <c r="D129">
        <v>54.720001000000003</v>
      </c>
      <c r="E129">
        <v>56.959999000000003</v>
      </c>
      <c r="F129">
        <v>56.959999000000003</v>
      </c>
      <c r="G129">
        <v>65330000</v>
      </c>
      <c r="H129" s="93">
        <f t="shared" si="8"/>
        <v>0.97318608529291817</v>
      </c>
      <c r="I129">
        <f t="shared" si="10"/>
        <v>0.91467632868845861</v>
      </c>
      <c r="J129">
        <f t="shared" si="9"/>
        <v>2.9577792446162474E-2</v>
      </c>
      <c r="K129" s="91">
        <v>22129</v>
      </c>
      <c r="Q129">
        <v>3506845.5599267427</v>
      </c>
    </row>
    <row r="130" spans="1:17">
      <c r="A130" s="91">
        <v>22160</v>
      </c>
      <c r="B130">
        <v>57.09</v>
      </c>
      <c r="C130">
        <v>57.09</v>
      </c>
      <c r="D130">
        <v>52.48</v>
      </c>
      <c r="E130">
        <v>53.52</v>
      </c>
      <c r="F130">
        <v>53.52</v>
      </c>
      <c r="G130">
        <v>60840000</v>
      </c>
      <c r="H130" s="93">
        <f t="shared" si="8"/>
        <v>1.0280929412586521</v>
      </c>
      <c r="I130">
        <f t="shared" si="10"/>
        <v>0.96976390300261439</v>
      </c>
      <c r="J130">
        <f t="shared" si="9"/>
        <v>3.0191829875732126E-2</v>
      </c>
      <c r="K130" s="91">
        <v>22160</v>
      </c>
      <c r="Q130">
        <v>2619786.531865932</v>
      </c>
    </row>
    <row r="131" spans="1:17">
      <c r="A131" s="91">
        <v>22190</v>
      </c>
      <c r="B131">
        <v>53.360000999999997</v>
      </c>
      <c r="C131">
        <v>54.860000999999997</v>
      </c>
      <c r="D131">
        <v>52.200001</v>
      </c>
      <c r="E131">
        <v>53.389999000000003</v>
      </c>
      <c r="F131">
        <v>53.389999000000003</v>
      </c>
      <c r="G131">
        <v>54370000</v>
      </c>
      <c r="H131" s="93">
        <f t="shared" si="8"/>
        <v>0.93466458223857052</v>
      </c>
      <c r="I131">
        <f t="shared" si="10"/>
        <v>0.93712683416099107</v>
      </c>
      <c r="J131">
        <f t="shared" si="9"/>
        <v>3.4369556534528119E-2</v>
      </c>
      <c r="K131" s="91">
        <v>22190</v>
      </c>
      <c r="Q131">
        <v>1676659.9983897496</v>
      </c>
    </row>
    <row r="132" spans="1:17">
      <c r="A132" s="91">
        <v>22221</v>
      </c>
      <c r="B132">
        <v>53.939999</v>
      </c>
      <c r="C132">
        <v>56.43</v>
      </c>
      <c r="D132">
        <v>53.939999</v>
      </c>
      <c r="E132">
        <v>55.540000999999997</v>
      </c>
      <c r="F132">
        <v>55.540000999999997</v>
      </c>
      <c r="G132">
        <v>62010000</v>
      </c>
      <c r="H132" s="93">
        <f t="shared" ref="H132:H195" si="11">B132/B131</f>
        <v>1.0108695275324302</v>
      </c>
      <c r="I132">
        <f t="shared" si="10"/>
        <v>0.93955755094931204</v>
      </c>
      <c r="J132">
        <f t="shared" si="9"/>
        <v>3.4468305641407224E-2</v>
      </c>
      <c r="K132" s="91">
        <v>22221</v>
      </c>
      <c r="Q132">
        <v>2766307.5695292274</v>
      </c>
    </row>
    <row r="133" spans="1:17">
      <c r="A133" s="91">
        <v>22251</v>
      </c>
      <c r="B133">
        <v>55.299999</v>
      </c>
      <c r="C133">
        <v>58.110000999999997</v>
      </c>
      <c r="D133">
        <v>55.299999</v>
      </c>
      <c r="E133">
        <v>58.110000999999997</v>
      </c>
      <c r="F133">
        <v>58.110000999999997</v>
      </c>
      <c r="G133">
        <v>77330000</v>
      </c>
      <c r="H133" s="93">
        <f t="shared" si="11"/>
        <v>1.0252132003191174</v>
      </c>
      <c r="I133">
        <f t="shared" si="10"/>
        <v>0.94207833148077802</v>
      </c>
      <c r="J133">
        <f t="shared" si="9"/>
        <v>3.4672834234310251E-2</v>
      </c>
      <c r="K133" s="91">
        <v>22251</v>
      </c>
      <c r="Q133">
        <v>2976523.6514223753</v>
      </c>
    </row>
    <row r="134" spans="1:17">
      <c r="A134" s="91">
        <v>22282</v>
      </c>
      <c r="B134">
        <v>57.57</v>
      </c>
      <c r="C134">
        <v>61.970001000000003</v>
      </c>
      <c r="D134">
        <v>57.57</v>
      </c>
      <c r="E134">
        <v>61.779998999999997</v>
      </c>
      <c r="F134">
        <v>61.779998999999997</v>
      </c>
      <c r="G134">
        <v>89010000</v>
      </c>
      <c r="H134" s="93">
        <f t="shared" si="11"/>
        <v>1.0410488434186047</v>
      </c>
      <c r="I134">
        <f t="shared" si="10"/>
        <v>0.9609414121181773</v>
      </c>
      <c r="J134">
        <f t="shared" si="9"/>
        <v>3.6468234161550726E-2</v>
      </c>
      <c r="K134" s="91">
        <v>22282</v>
      </c>
      <c r="Q134">
        <v>3829043.764161441</v>
      </c>
    </row>
    <row r="135" spans="1:17">
      <c r="A135" s="91">
        <v>22313</v>
      </c>
      <c r="B135">
        <v>61.900002000000001</v>
      </c>
      <c r="C135">
        <v>63.439999</v>
      </c>
      <c r="D135">
        <v>61.139999000000003</v>
      </c>
      <c r="E135">
        <v>63.439999</v>
      </c>
      <c r="F135">
        <v>63.439999</v>
      </c>
      <c r="G135">
        <v>92730000</v>
      </c>
      <c r="H135" s="93">
        <f t="shared" si="11"/>
        <v>1.0752128191766546</v>
      </c>
      <c r="I135">
        <f t="shared" si="10"/>
        <v>1.1061473035408738</v>
      </c>
      <c r="J135">
        <f t="shared" si="9"/>
        <v>3.6975893650868501E-2</v>
      </c>
      <c r="K135" s="91">
        <v>22313</v>
      </c>
      <c r="Q135">
        <v>3732615.6326018111</v>
      </c>
    </row>
    <row r="136" spans="1:17">
      <c r="A136" s="91">
        <v>22341</v>
      </c>
      <c r="B136">
        <v>63.43</v>
      </c>
      <c r="C136">
        <v>65.059997999999993</v>
      </c>
      <c r="D136">
        <v>63.380001</v>
      </c>
      <c r="E136">
        <v>65.059997999999993</v>
      </c>
      <c r="F136">
        <v>65.059997999999993</v>
      </c>
      <c r="G136">
        <v>115050000</v>
      </c>
      <c r="H136" s="93">
        <f t="shared" si="11"/>
        <v>1.0247172528362762</v>
      </c>
      <c r="I136">
        <f t="shared" si="10"/>
        <v>1.1324763839484515</v>
      </c>
      <c r="J136">
        <f t="shared" si="9"/>
        <v>3.7136285231838727E-2</v>
      </c>
      <c r="K136" s="91">
        <v>22341</v>
      </c>
      <c r="Q136">
        <v>1233289.7650645929</v>
      </c>
    </row>
    <row r="137" spans="1:17">
      <c r="A137" s="91">
        <v>22372</v>
      </c>
      <c r="B137">
        <v>65.599997999999999</v>
      </c>
      <c r="C137">
        <v>68.680000000000007</v>
      </c>
      <c r="D137">
        <v>64.400002000000001</v>
      </c>
      <c r="E137">
        <v>65.309997999999993</v>
      </c>
      <c r="F137">
        <v>65.309997999999993</v>
      </c>
      <c r="G137">
        <v>101760000</v>
      </c>
      <c r="H137" s="93">
        <f t="shared" si="11"/>
        <v>1.0342109096641967</v>
      </c>
      <c r="I137">
        <f t="shared" si="10"/>
        <v>1.1834746166335919</v>
      </c>
      <c r="J137">
        <f t="shared" si="9"/>
        <v>3.7028901133400551E-2</v>
      </c>
      <c r="K137" s="91">
        <v>22372</v>
      </c>
      <c r="Q137">
        <v>8642345.7990572806</v>
      </c>
    </row>
    <row r="138" spans="1:17">
      <c r="A138" s="91">
        <v>22402</v>
      </c>
      <c r="B138">
        <v>65.169998000000007</v>
      </c>
      <c r="C138">
        <v>67.389999000000003</v>
      </c>
      <c r="D138">
        <v>65.169998000000007</v>
      </c>
      <c r="E138">
        <v>66.559997999999993</v>
      </c>
      <c r="F138">
        <v>66.559997999999993</v>
      </c>
      <c r="G138">
        <v>96940000</v>
      </c>
      <c r="H138" s="93">
        <f t="shared" si="11"/>
        <v>0.99344512175137578</v>
      </c>
      <c r="I138">
        <f t="shared" si="10"/>
        <v>1.2039533862192244</v>
      </c>
      <c r="J138">
        <f t="shared" si="9"/>
        <v>3.5742225286134438E-2</v>
      </c>
      <c r="K138" s="91">
        <v>22402</v>
      </c>
      <c r="Q138">
        <v>1880436.9987406987</v>
      </c>
    </row>
    <row r="139" spans="1:17">
      <c r="A139" s="91">
        <v>22433</v>
      </c>
      <c r="B139">
        <v>66.559997999999993</v>
      </c>
      <c r="C139">
        <v>67.080001999999993</v>
      </c>
      <c r="D139">
        <v>64.470000999999996</v>
      </c>
      <c r="E139">
        <v>64.639999000000003</v>
      </c>
      <c r="F139">
        <v>64.639999000000003</v>
      </c>
      <c r="G139">
        <v>73090000</v>
      </c>
      <c r="H139" s="93">
        <f t="shared" si="11"/>
        <v>1.0213288329393533</v>
      </c>
      <c r="I139">
        <f t="shared" si="10"/>
        <v>1.1909107030043065</v>
      </c>
      <c r="J139">
        <f t="shared" si="9"/>
        <v>3.5421815247127265E-2</v>
      </c>
      <c r="K139" s="91">
        <v>22433</v>
      </c>
      <c r="Q139">
        <v>2162459.3732453734</v>
      </c>
    </row>
    <row r="140" spans="1:17">
      <c r="A140" s="91">
        <v>22463</v>
      </c>
      <c r="B140">
        <v>65.209998999999996</v>
      </c>
      <c r="C140">
        <v>66.760002</v>
      </c>
      <c r="D140">
        <v>64.410004000000001</v>
      </c>
      <c r="E140">
        <v>66.760002</v>
      </c>
      <c r="F140">
        <v>66.760002</v>
      </c>
      <c r="G140">
        <v>60840000</v>
      </c>
      <c r="H140" s="93">
        <f t="shared" si="11"/>
        <v>0.97971756249151332</v>
      </c>
      <c r="I140">
        <f t="shared" si="10"/>
        <v>1.1428320690004894</v>
      </c>
      <c r="J140">
        <f t="shared" si="9"/>
        <v>3.6791690702141569E-2</v>
      </c>
      <c r="K140" s="91">
        <v>22463</v>
      </c>
      <c r="Q140">
        <v>1343158.417670435</v>
      </c>
    </row>
    <row r="141" spans="1:17">
      <c r="A141" s="91">
        <v>22494</v>
      </c>
      <c r="B141">
        <v>67.370002999999997</v>
      </c>
      <c r="C141">
        <v>68.440002000000007</v>
      </c>
      <c r="D141">
        <v>66.940002000000007</v>
      </c>
      <c r="E141">
        <v>68.069999999999993</v>
      </c>
      <c r="F141">
        <v>68.069999999999993</v>
      </c>
      <c r="G141">
        <v>81490000</v>
      </c>
      <c r="H141" s="93">
        <f t="shared" si="11"/>
        <v>1.0331238158736975</v>
      </c>
      <c r="I141">
        <f t="shared" si="10"/>
        <v>1.2132181561897741</v>
      </c>
      <c r="J141">
        <f t="shared" si="9"/>
        <v>3.5101322127056973E-2</v>
      </c>
      <c r="K141" s="91">
        <v>22494</v>
      </c>
      <c r="Q141">
        <v>13933995.506959576</v>
      </c>
    </row>
    <row r="142" spans="1:17">
      <c r="A142" s="91">
        <v>22525</v>
      </c>
      <c r="B142">
        <v>68.190002000000007</v>
      </c>
      <c r="C142">
        <v>68.459998999999996</v>
      </c>
      <c r="D142">
        <v>65.769997000000004</v>
      </c>
      <c r="E142">
        <v>66.730002999999996</v>
      </c>
      <c r="F142">
        <v>66.730002999999996</v>
      </c>
      <c r="G142">
        <v>63820000</v>
      </c>
      <c r="H142" s="93">
        <f t="shared" si="11"/>
        <v>1.0121715743429611</v>
      </c>
      <c r="I142">
        <f t="shared" si="10"/>
        <v>1.1944298826414435</v>
      </c>
      <c r="J142">
        <f t="shared" si="9"/>
        <v>3.4936330535375752E-2</v>
      </c>
      <c r="K142" s="91">
        <v>22525</v>
      </c>
      <c r="Q142">
        <v>5734251.1198414322</v>
      </c>
    </row>
    <row r="143" spans="1:17">
      <c r="A143" s="91">
        <v>22555</v>
      </c>
      <c r="B143">
        <v>66.769997000000004</v>
      </c>
      <c r="C143">
        <v>68.620002999999997</v>
      </c>
      <c r="D143">
        <v>66.730002999999996</v>
      </c>
      <c r="E143">
        <v>68.620002999999997</v>
      </c>
      <c r="F143">
        <v>68.620002999999997</v>
      </c>
      <c r="G143">
        <v>72980000</v>
      </c>
      <c r="H143" s="93">
        <f t="shared" si="11"/>
        <v>0.97917575951970193</v>
      </c>
      <c r="I143">
        <f t="shared" si="10"/>
        <v>1.2513117644057017</v>
      </c>
      <c r="J143">
        <f t="shared" ref="J143:J206" si="12">_xlfn.STDEV.S(H132:H143)</f>
        <v>2.7048858557968777E-2</v>
      </c>
      <c r="K143" s="91">
        <v>22555</v>
      </c>
      <c r="Q143">
        <v>3771590.0265716729</v>
      </c>
    </row>
    <row r="144" spans="1:17">
      <c r="A144" s="91">
        <v>22586</v>
      </c>
      <c r="B144">
        <v>68.730002999999996</v>
      </c>
      <c r="C144">
        <v>71.849997999999999</v>
      </c>
      <c r="D144">
        <v>68.730002999999996</v>
      </c>
      <c r="E144">
        <v>71.319999999999993</v>
      </c>
      <c r="F144">
        <v>71.319999999999993</v>
      </c>
      <c r="G144">
        <v>87770000</v>
      </c>
      <c r="H144" s="93">
        <f t="shared" si="11"/>
        <v>1.0293545917038156</v>
      </c>
      <c r="I144">
        <f t="shared" ref="I144:I207" si="13">B144/B132</f>
        <v>1.2741936276268748</v>
      </c>
      <c r="J144">
        <f t="shared" si="12"/>
        <v>2.7058522544871431E-2</v>
      </c>
      <c r="K144" s="91">
        <v>22586</v>
      </c>
      <c r="Q144">
        <v>940142.38021665276</v>
      </c>
    </row>
    <row r="145" spans="1:17">
      <c r="A145" s="91">
        <v>22616</v>
      </c>
      <c r="B145">
        <v>71.779999000000004</v>
      </c>
      <c r="C145">
        <v>72.639999000000003</v>
      </c>
      <c r="D145">
        <v>70.860000999999997</v>
      </c>
      <c r="E145">
        <v>71.550003000000004</v>
      </c>
      <c r="F145">
        <v>71.550003000000004</v>
      </c>
      <c r="G145">
        <v>82380000</v>
      </c>
      <c r="H145" s="93">
        <f t="shared" si="11"/>
        <v>1.0443764857685225</v>
      </c>
      <c r="I145">
        <f t="shared" si="13"/>
        <v>1.298010855298569</v>
      </c>
      <c r="J145">
        <f t="shared" si="12"/>
        <v>2.7899790634293049E-2</v>
      </c>
      <c r="K145" s="91">
        <v>22616</v>
      </c>
      <c r="Q145">
        <v>1831632.8962863809</v>
      </c>
    </row>
    <row r="146" spans="1:17">
      <c r="A146" s="91">
        <v>22647</v>
      </c>
      <c r="B146">
        <v>71.550003000000004</v>
      </c>
      <c r="C146">
        <v>71.959998999999996</v>
      </c>
      <c r="D146">
        <v>67.550003000000004</v>
      </c>
      <c r="E146">
        <v>68.839995999999999</v>
      </c>
      <c r="F146">
        <v>68.839995999999999</v>
      </c>
      <c r="G146">
        <v>80790000</v>
      </c>
      <c r="H146" s="93">
        <f t="shared" si="11"/>
        <v>0.99679582051819193</v>
      </c>
      <c r="I146">
        <f t="shared" si="13"/>
        <v>1.2428348619072433</v>
      </c>
      <c r="J146">
        <f t="shared" si="12"/>
        <v>2.812346615049012E-2</v>
      </c>
      <c r="K146" s="91">
        <v>22647</v>
      </c>
      <c r="Q146">
        <v>4544348.742218893</v>
      </c>
    </row>
    <row r="147" spans="1:17">
      <c r="A147" s="91">
        <v>22678</v>
      </c>
      <c r="B147">
        <v>68.839995999999999</v>
      </c>
      <c r="C147">
        <v>71.129997000000003</v>
      </c>
      <c r="D147">
        <v>68.559997999999993</v>
      </c>
      <c r="E147">
        <v>69.959998999999996</v>
      </c>
      <c r="F147">
        <v>69.959998999999996</v>
      </c>
      <c r="G147">
        <v>66130000</v>
      </c>
      <c r="H147" s="93">
        <f t="shared" si="11"/>
        <v>0.96212429229388008</v>
      </c>
      <c r="I147">
        <f t="shared" si="13"/>
        <v>1.1121162160867135</v>
      </c>
      <c r="J147">
        <f t="shared" si="12"/>
        <v>2.6331938495830161E-2</v>
      </c>
      <c r="K147" s="91">
        <v>22678</v>
      </c>
      <c r="Q147">
        <v>2693934.0741630374</v>
      </c>
    </row>
    <row r="148" spans="1:17">
      <c r="A148" s="91">
        <v>22706</v>
      </c>
      <c r="B148">
        <v>69.959998999999996</v>
      </c>
      <c r="C148">
        <v>71.440002000000007</v>
      </c>
      <c r="D148">
        <v>69.160004000000001</v>
      </c>
      <c r="E148">
        <v>69.550003000000004</v>
      </c>
      <c r="F148">
        <v>69.550003000000004</v>
      </c>
      <c r="G148">
        <v>68440000</v>
      </c>
      <c r="H148" s="93">
        <f t="shared" si="11"/>
        <v>1.0162696552161332</v>
      </c>
      <c r="I148">
        <f t="shared" si="13"/>
        <v>1.1029481160334227</v>
      </c>
      <c r="J148">
        <f t="shared" si="12"/>
        <v>2.5990433296740736E-2</v>
      </c>
      <c r="K148" s="91">
        <v>22706</v>
      </c>
      <c r="Q148">
        <v>4430844.1439217739</v>
      </c>
    </row>
    <row r="149" spans="1:17">
      <c r="A149" s="91">
        <v>22737</v>
      </c>
      <c r="B149">
        <v>69.550003000000004</v>
      </c>
      <c r="C149">
        <v>69.819999999999993</v>
      </c>
      <c r="D149">
        <v>64.949996999999996</v>
      </c>
      <c r="E149">
        <v>65.239998</v>
      </c>
      <c r="F149">
        <v>65.239998</v>
      </c>
      <c r="G149">
        <v>65240000</v>
      </c>
      <c r="H149" s="93">
        <f t="shared" si="11"/>
        <v>0.99413956538221226</v>
      </c>
      <c r="I149">
        <f t="shared" si="13"/>
        <v>1.0602134926894358</v>
      </c>
      <c r="J149">
        <f t="shared" si="12"/>
        <v>2.494087786670594E-2</v>
      </c>
      <c r="K149" s="91">
        <v>22737</v>
      </c>
      <c r="Q149">
        <v>6660220.374809741</v>
      </c>
    </row>
    <row r="150" spans="1:17">
      <c r="A150" s="91">
        <v>22767</v>
      </c>
      <c r="B150">
        <v>65.239998</v>
      </c>
      <c r="C150">
        <v>66.930000000000007</v>
      </c>
      <c r="D150">
        <v>53.130001</v>
      </c>
      <c r="E150">
        <v>59.630001</v>
      </c>
      <c r="F150">
        <v>59.630001</v>
      </c>
      <c r="G150">
        <v>111030000</v>
      </c>
      <c r="H150" s="93">
        <f t="shared" si="11"/>
        <v>0.93803012488726989</v>
      </c>
      <c r="I150">
        <f t="shared" si="13"/>
        <v>1.001074113889032</v>
      </c>
      <c r="J150">
        <f t="shared" si="12"/>
        <v>3.1560552511108945E-2</v>
      </c>
      <c r="K150" s="91">
        <v>22767</v>
      </c>
      <c r="Q150">
        <v>6163875.3829870308</v>
      </c>
    </row>
    <row r="151" spans="1:17">
      <c r="A151" s="91">
        <v>22798</v>
      </c>
      <c r="B151">
        <v>59.630001</v>
      </c>
      <c r="C151">
        <v>59.959999000000003</v>
      </c>
      <c r="D151">
        <v>51.349997999999999</v>
      </c>
      <c r="E151">
        <v>54.75</v>
      </c>
      <c r="F151">
        <v>54.75</v>
      </c>
      <c r="G151">
        <v>100160000</v>
      </c>
      <c r="H151" s="93">
        <f t="shared" si="11"/>
        <v>0.91400985328049822</v>
      </c>
      <c r="I151">
        <f t="shared" si="13"/>
        <v>0.89588345540515202</v>
      </c>
      <c r="J151">
        <f t="shared" si="12"/>
        <v>3.9375297488655231E-2</v>
      </c>
      <c r="K151" s="91">
        <v>22798</v>
      </c>
      <c r="Q151">
        <v>3241732.4967118832</v>
      </c>
    </row>
    <row r="152" spans="1:17">
      <c r="A152" s="91">
        <v>22828</v>
      </c>
      <c r="B152">
        <v>54.75</v>
      </c>
      <c r="C152">
        <v>58.669998</v>
      </c>
      <c r="D152">
        <v>54.470001000000003</v>
      </c>
      <c r="E152">
        <v>58.23</v>
      </c>
      <c r="F152">
        <v>58.23</v>
      </c>
      <c r="G152">
        <v>74160000</v>
      </c>
      <c r="H152" s="93">
        <f t="shared" si="11"/>
        <v>0.91816198359614321</v>
      </c>
      <c r="I152">
        <f t="shared" si="13"/>
        <v>0.83959516699271841</v>
      </c>
      <c r="J152">
        <f t="shared" si="12"/>
        <v>4.4712883215708855E-2</v>
      </c>
      <c r="K152" s="91">
        <v>22828</v>
      </c>
      <c r="Q152">
        <v>13433646.902856857</v>
      </c>
    </row>
    <row r="153" spans="1:17">
      <c r="A153" s="91">
        <v>22859</v>
      </c>
      <c r="B153">
        <v>58.23</v>
      </c>
      <c r="C153">
        <v>60.330002</v>
      </c>
      <c r="D153">
        <v>56.759998000000003</v>
      </c>
      <c r="E153">
        <v>59.119999</v>
      </c>
      <c r="F153">
        <v>59.119999</v>
      </c>
      <c r="G153">
        <v>80400000</v>
      </c>
      <c r="H153" s="93">
        <f t="shared" si="11"/>
        <v>1.0635616438356164</v>
      </c>
      <c r="I153">
        <f t="shared" si="13"/>
        <v>0.86433126624619561</v>
      </c>
      <c r="J153">
        <f t="shared" si="12"/>
        <v>4.8317627729204254E-2</v>
      </c>
      <c r="K153" s="91">
        <v>22859</v>
      </c>
      <c r="Q153">
        <v>4195593.2972408934</v>
      </c>
    </row>
    <row r="154" spans="1:17">
      <c r="A154" s="91">
        <v>22890</v>
      </c>
      <c r="B154">
        <v>59.119999</v>
      </c>
      <c r="C154">
        <v>59.540000999999997</v>
      </c>
      <c r="D154">
        <v>55.529998999999997</v>
      </c>
      <c r="E154">
        <v>56.27</v>
      </c>
      <c r="F154">
        <v>56.27</v>
      </c>
      <c r="G154">
        <v>62890000</v>
      </c>
      <c r="H154" s="93">
        <f t="shared" si="11"/>
        <v>1.0152842005838916</v>
      </c>
      <c r="I154">
        <f t="shared" si="13"/>
        <v>0.86698925452443887</v>
      </c>
      <c r="J154">
        <f t="shared" si="12"/>
        <v>4.8461386432149658E-2</v>
      </c>
      <c r="K154" s="91">
        <v>22890</v>
      </c>
      <c r="Q154">
        <v>3520734.1874251575</v>
      </c>
    </row>
    <row r="155" spans="1:17">
      <c r="A155" s="91">
        <v>22920</v>
      </c>
      <c r="B155">
        <v>56.27</v>
      </c>
      <c r="C155">
        <v>57.830002</v>
      </c>
      <c r="D155">
        <v>52.549999</v>
      </c>
      <c r="E155">
        <v>56.52</v>
      </c>
      <c r="F155">
        <v>56.52</v>
      </c>
      <c r="G155">
        <v>78690000</v>
      </c>
      <c r="H155" s="93">
        <f t="shared" si="11"/>
        <v>0.95179297956348075</v>
      </c>
      <c r="I155">
        <f t="shared" si="13"/>
        <v>0.8427437850566325</v>
      </c>
      <c r="J155">
        <f t="shared" si="12"/>
        <v>4.9611137930604586E-2</v>
      </c>
      <c r="K155" s="91">
        <v>22920</v>
      </c>
      <c r="Q155">
        <v>8666149.0421849433</v>
      </c>
    </row>
    <row r="156" spans="1:17">
      <c r="A156" s="91">
        <v>22951</v>
      </c>
      <c r="B156">
        <v>56.52</v>
      </c>
      <c r="C156">
        <v>62.779998999999997</v>
      </c>
      <c r="D156">
        <v>55.900002000000001</v>
      </c>
      <c r="E156">
        <v>62.259998000000003</v>
      </c>
      <c r="F156">
        <v>62.259998000000003</v>
      </c>
      <c r="G156">
        <v>96020000</v>
      </c>
      <c r="H156" s="93">
        <f t="shared" si="11"/>
        <v>1.0044428647591968</v>
      </c>
      <c r="I156">
        <f t="shared" si="13"/>
        <v>0.82234828361639978</v>
      </c>
      <c r="J156">
        <f t="shared" si="12"/>
        <v>4.817782473833733E-2</v>
      </c>
      <c r="K156" s="91">
        <v>22951</v>
      </c>
      <c r="Q156">
        <v>4616433.3897422506</v>
      </c>
    </row>
    <row r="157" spans="1:17">
      <c r="A157" s="91">
        <v>22981</v>
      </c>
      <c r="B157">
        <v>62.259998000000003</v>
      </c>
      <c r="C157">
        <v>63.5</v>
      </c>
      <c r="D157">
        <v>61.279998999999997</v>
      </c>
      <c r="E157">
        <v>63.099997999999999</v>
      </c>
      <c r="F157">
        <v>63.099997999999999</v>
      </c>
      <c r="G157">
        <v>80870000</v>
      </c>
      <c r="H157" s="93">
        <f t="shared" si="11"/>
        <v>1.1015569355980184</v>
      </c>
      <c r="I157">
        <f t="shared" si="13"/>
        <v>0.86737251138719018</v>
      </c>
      <c r="J157">
        <f t="shared" si="12"/>
        <v>5.6672300736337895E-2</v>
      </c>
      <c r="K157" s="91">
        <v>22981</v>
      </c>
      <c r="Q157">
        <v>3581252.5405595535</v>
      </c>
    </row>
    <row r="158" spans="1:17">
      <c r="A158" s="91">
        <v>23012</v>
      </c>
      <c r="B158">
        <v>63.099997999999999</v>
      </c>
      <c r="C158">
        <v>66.589995999999999</v>
      </c>
      <c r="D158">
        <v>62.32</v>
      </c>
      <c r="E158">
        <v>66.199996999999996</v>
      </c>
      <c r="F158">
        <v>66.199996999999996</v>
      </c>
      <c r="G158">
        <v>101970000</v>
      </c>
      <c r="H158" s="93">
        <f t="shared" si="11"/>
        <v>1.0134918089782141</v>
      </c>
      <c r="I158">
        <f t="shared" si="13"/>
        <v>0.88190070376377194</v>
      </c>
      <c r="J158">
        <f t="shared" si="12"/>
        <v>5.7066433734975795E-2</v>
      </c>
      <c r="K158" s="91">
        <v>23012</v>
      </c>
      <c r="Q158">
        <v>3757711.8572226423</v>
      </c>
    </row>
    <row r="159" spans="1:17">
      <c r="A159" s="91">
        <v>23043</v>
      </c>
      <c r="B159">
        <v>66.309997999999993</v>
      </c>
      <c r="C159">
        <v>66.959998999999996</v>
      </c>
      <c r="D159">
        <v>64.080001999999993</v>
      </c>
      <c r="E159">
        <v>64.290001000000004</v>
      </c>
      <c r="F159">
        <v>64.290001000000004</v>
      </c>
      <c r="G159">
        <v>79120000</v>
      </c>
      <c r="H159" s="93">
        <f t="shared" si="11"/>
        <v>1.0508716339420485</v>
      </c>
      <c r="I159">
        <f t="shared" si="13"/>
        <v>0.96324813848042634</v>
      </c>
      <c r="J159">
        <f t="shared" si="12"/>
        <v>5.8701102499271629E-2</v>
      </c>
      <c r="K159" s="91">
        <v>23043</v>
      </c>
      <c r="Q159">
        <v>8811358.6260265876</v>
      </c>
    </row>
    <row r="160" spans="1:17">
      <c r="A160" s="91">
        <v>23071</v>
      </c>
      <c r="B160">
        <v>64.290001000000004</v>
      </c>
      <c r="C160">
        <v>67.010002</v>
      </c>
      <c r="D160">
        <v>63.799999</v>
      </c>
      <c r="E160">
        <v>66.569999999999993</v>
      </c>
      <c r="F160">
        <v>66.569999999999993</v>
      </c>
      <c r="G160">
        <v>74760000</v>
      </c>
      <c r="H160" s="93">
        <f t="shared" si="11"/>
        <v>0.96953706739668444</v>
      </c>
      <c r="I160">
        <f t="shared" si="13"/>
        <v>0.91895371525091085</v>
      </c>
      <c r="J160">
        <f t="shared" si="12"/>
        <v>5.8962312869447135E-2</v>
      </c>
      <c r="K160" s="91">
        <v>23071</v>
      </c>
      <c r="Q160">
        <v>13136618.073884798</v>
      </c>
    </row>
    <row r="161" spans="1:17">
      <c r="A161" s="91">
        <v>23102</v>
      </c>
      <c r="B161">
        <v>66.569999999999993</v>
      </c>
      <c r="C161">
        <v>70.180000000000007</v>
      </c>
      <c r="D161">
        <v>66.230002999999996</v>
      </c>
      <c r="E161">
        <v>69.800003000000004</v>
      </c>
      <c r="F161">
        <v>69.800003000000004</v>
      </c>
      <c r="G161">
        <v>106290000</v>
      </c>
      <c r="H161" s="93">
        <f t="shared" si="11"/>
        <v>1.0354642862736927</v>
      </c>
      <c r="I161">
        <f t="shared" si="13"/>
        <v>0.95715308596032689</v>
      </c>
      <c r="J161">
        <f t="shared" si="12"/>
        <v>6.0129907852052612E-2</v>
      </c>
      <c r="K161" s="91">
        <v>23102</v>
      </c>
      <c r="Q161">
        <v>5732524.1812232072</v>
      </c>
    </row>
    <row r="162" spans="1:17">
      <c r="A162" s="91">
        <v>23132</v>
      </c>
      <c r="B162">
        <v>69.800003000000004</v>
      </c>
      <c r="C162">
        <v>71.139999000000003</v>
      </c>
      <c r="D162">
        <v>69.029999000000004</v>
      </c>
      <c r="E162">
        <v>70.800003000000004</v>
      </c>
      <c r="F162">
        <v>70.800003000000004</v>
      </c>
      <c r="G162">
        <v>105070000</v>
      </c>
      <c r="H162" s="93">
        <f t="shared" si="11"/>
        <v>1.0485203995793904</v>
      </c>
      <c r="I162">
        <f t="shared" si="13"/>
        <v>1.069895848249413</v>
      </c>
      <c r="J162">
        <f t="shared" si="12"/>
        <v>5.8547932956833137E-2</v>
      </c>
      <c r="K162" s="91">
        <v>23132</v>
      </c>
      <c r="Q162">
        <v>1798050.6349677953</v>
      </c>
    </row>
    <row r="163" spans="1:17">
      <c r="A163" s="91">
        <v>23163</v>
      </c>
      <c r="B163">
        <v>70.800003000000004</v>
      </c>
      <c r="C163">
        <v>71.239998</v>
      </c>
      <c r="D163">
        <v>68.779999000000004</v>
      </c>
      <c r="E163">
        <v>69.370002999999997</v>
      </c>
      <c r="F163">
        <v>69.370002999999997</v>
      </c>
      <c r="G163">
        <v>90580000</v>
      </c>
      <c r="H163" s="93">
        <f t="shared" si="11"/>
        <v>1.0143266469487116</v>
      </c>
      <c r="I163">
        <f t="shared" si="13"/>
        <v>1.1873218482756691</v>
      </c>
      <c r="J163">
        <f t="shared" si="12"/>
        <v>5.0658648920830496E-2</v>
      </c>
      <c r="K163" s="91">
        <v>23163</v>
      </c>
      <c r="Q163">
        <v>1820913.7031965181</v>
      </c>
    </row>
    <row r="164" spans="1:17">
      <c r="A164" s="91">
        <v>23193</v>
      </c>
      <c r="B164">
        <v>69.370002999999997</v>
      </c>
      <c r="C164">
        <v>70.480002999999996</v>
      </c>
      <c r="D164">
        <v>67.540001000000004</v>
      </c>
      <c r="E164">
        <v>69.129997000000003</v>
      </c>
      <c r="F164">
        <v>69.129997000000003</v>
      </c>
      <c r="G164">
        <v>76310000</v>
      </c>
      <c r="H164" s="93">
        <f t="shared" si="11"/>
        <v>0.97980226074284194</v>
      </c>
      <c r="I164">
        <f t="shared" si="13"/>
        <v>1.26703201826484</v>
      </c>
      <c r="J164">
        <f t="shared" si="12"/>
        <v>4.2321171030648169E-2</v>
      </c>
      <c r="K164" s="91">
        <v>23193</v>
      </c>
      <c r="Q164">
        <v>2790942.9275071863</v>
      </c>
    </row>
    <row r="165" spans="1:17">
      <c r="A165" s="91">
        <v>23224</v>
      </c>
      <c r="B165">
        <v>69.129997000000003</v>
      </c>
      <c r="C165">
        <v>72.709998999999996</v>
      </c>
      <c r="D165">
        <v>68.639999000000003</v>
      </c>
      <c r="E165">
        <v>72.5</v>
      </c>
      <c r="F165">
        <v>72.5</v>
      </c>
      <c r="G165">
        <v>91650000</v>
      </c>
      <c r="H165" s="93">
        <f t="shared" si="11"/>
        <v>0.99654020484906147</v>
      </c>
      <c r="I165">
        <f t="shared" si="13"/>
        <v>1.1871886828095484</v>
      </c>
      <c r="J165">
        <f t="shared" si="12"/>
        <v>4.0538390493543124E-2</v>
      </c>
      <c r="K165" s="91">
        <v>23224</v>
      </c>
      <c r="Q165">
        <v>5028668.2220485844</v>
      </c>
    </row>
    <row r="166" spans="1:17">
      <c r="A166" s="91">
        <v>23255</v>
      </c>
      <c r="B166">
        <v>72.5</v>
      </c>
      <c r="C166">
        <v>73.870002999999997</v>
      </c>
      <c r="D166">
        <v>71.279999000000004</v>
      </c>
      <c r="E166">
        <v>71.699996999999996</v>
      </c>
      <c r="F166">
        <v>71.699996999999996</v>
      </c>
      <c r="G166">
        <v>106620000</v>
      </c>
      <c r="H166" s="93">
        <f t="shared" si="11"/>
        <v>1.0487487797807946</v>
      </c>
      <c r="I166">
        <f t="shared" si="13"/>
        <v>1.2263193712164981</v>
      </c>
      <c r="J166">
        <f t="shared" si="12"/>
        <v>4.1684365867653887E-2</v>
      </c>
      <c r="K166" s="91">
        <v>23255</v>
      </c>
      <c r="Q166">
        <v>1389922.365594558</v>
      </c>
    </row>
    <row r="167" spans="1:17">
      <c r="A167" s="91">
        <v>23285</v>
      </c>
      <c r="B167">
        <v>71.699996999999996</v>
      </c>
      <c r="C167">
        <v>75.180000000000007</v>
      </c>
      <c r="D167">
        <v>71.569999999999993</v>
      </c>
      <c r="E167">
        <v>74.010002</v>
      </c>
      <c r="F167">
        <v>74.010002</v>
      </c>
      <c r="G167">
        <v>122360000</v>
      </c>
      <c r="H167" s="93">
        <f t="shared" si="11"/>
        <v>0.98896547586206895</v>
      </c>
      <c r="I167">
        <f t="shared" si="13"/>
        <v>1.2742135596232449</v>
      </c>
      <c r="J167">
        <f t="shared" si="12"/>
        <v>3.7493679350681153E-2</v>
      </c>
      <c r="K167" s="91">
        <v>23285</v>
      </c>
      <c r="Q167">
        <v>4052054.1785337045</v>
      </c>
    </row>
    <row r="168" spans="1:17">
      <c r="A168" s="91">
        <v>23316</v>
      </c>
      <c r="B168">
        <v>74.010002</v>
      </c>
      <c r="C168">
        <v>74.440002000000007</v>
      </c>
      <c r="D168">
        <v>69.480002999999996</v>
      </c>
      <c r="E168">
        <v>73.230002999999996</v>
      </c>
      <c r="F168">
        <v>73.230002999999996</v>
      </c>
      <c r="G168">
        <v>93990000</v>
      </c>
      <c r="H168" s="93">
        <f t="shared" si="11"/>
        <v>1.032217644304783</v>
      </c>
      <c r="I168">
        <f t="shared" si="13"/>
        <v>1.3094480184005661</v>
      </c>
      <c r="J168">
        <f t="shared" si="12"/>
        <v>3.7233542909409022E-2</v>
      </c>
      <c r="K168" s="91">
        <v>23316</v>
      </c>
      <c r="Q168">
        <v>4863260.7996266726</v>
      </c>
    </row>
    <row r="169" spans="1:17">
      <c r="A169" s="91">
        <v>23346</v>
      </c>
      <c r="B169">
        <v>73.230002999999996</v>
      </c>
      <c r="C169">
        <v>75.360000999999997</v>
      </c>
      <c r="D169">
        <v>73.019997000000004</v>
      </c>
      <c r="E169">
        <v>75.019997000000004</v>
      </c>
      <c r="F169">
        <v>75.019997000000004</v>
      </c>
      <c r="G169">
        <v>98660000</v>
      </c>
      <c r="H169" s="93">
        <f t="shared" si="11"/>
        <v>0.98946089746085941</v>
      </c>
      <c r="I169">
        <f t="shared" si="13"/>
        <v>1.1761966808929225</v>
      </c>
      <c r="J169">
        <f t="shared" si="12"/>
        <v>2.8969879483733106E-2</v>
      </c>
      <c r="K169" s="91">
        <v>23346</v>
      </c>
      <c r="Q169">
        <v>2719466.1095904843</v>
      </c>
    </row>
    <row r="170" spans="1:17">
      <c r="A170" s="91">
        <v>23377</v>
      </c>
      <c r="B170">
        <v>75.019997000000004</v>
      </c>
      <c r="C170">
        <v>77.779999000000004</v>
      </c>
      <c r="D170">
        <v>74.819999999999993</v>
      </c>
      <c r="E170">
        <v>77.040001000000004</v>
      </c>
      <c r="F170">
        <v>77.040001000000004</v>
      </c>
      <c r="G170">
        <v>116620000</v>
      </c>
      <c r="H170" s="93">
        <f t="shared" si="11"/>
        <v>1.0244434511357321</v>
      </c>
      <c r="I170">
        <f t="shared" si="13"/>
        <v>1.1889064877624878</v>
      </c>
      <c r="J170">
        <f t="shared" si="12"/>
        <v>2.9124657122412554E-2</v>
      </c>
      <c r="K170" s="91">
        <v>23377</v>
      </c>
      <c r="Q170">
        <v>1334246.9173907228</v>
      </c>
    </row>
    <row r="171" spans="1:17">
      <c r="A171" s="91">
        <v>23408</v>
      </c>
      <c r="B171">
        <v>77.040001000000004</v>
      </c>
      <c r="C171">
        <v>78.309997999999993</v>
      </c>
      <c r="D171">
        <v>76.360000999999997</v>
      </c>
      <c r="E171">
        <v>77.800003000000004</v>
      </c>
      <c r="F171">
        <v>77.800003000000004</v>
      </c>
      <c r="G171">
        <v>88110000</v>
      </c>
      <c r="H171" s="93">
        <f t="shared" si="11"/>
        <v>1.0269262074217358</v>
      </c>
      <c r="I171">
        <f t="shared" si="13"/>
        <v>1.1618157641929052</v>
      </c>
      <c r="J171">
        <f t="shared" si="12"/>
        <v>2.7192889335654693E-2</v>
      </c>
      <c r="K171" s="91">
        <v>23408</v>
      </c>
      <c r="Q171">
        <v>3087307.1310611381</v>
      </c>
    </row>
    <row r="172" spans="1:17">
      <c r="A172" s="91">
        <v>23437</v>
      </c>
      <c r="B172">
        <v>77.800003000000004</v>
      </c>
      <c r="C172">
        <v>79.889999000000003</v>
      </c>
      <c r="D172">
        <v>77.5</v>
      </c>
      <c r="E172">
        <v>78.980002999999996</v>
      </c>
      <c r="F172">
        <v>78.980002999999996</v>
      </c>
      <c r="G172">
        <v>113760000</v>
      </c>
      <c r="H172" s="93">
        <f t="shared" si="11"/>
        <v>1.0098650310245971</v>
      </c>
      <c r="I172">
        <f t="shared" si="13"/>
        <v>1.2101415739595338</v>
      </c>
      <c r="J172">
        <f t="shared" si="12"/>
        <v>2.359948651365101E-2</v>
      </c>
      <c r="K172" s="91">
        <v>23437</v>
      </c>
      <c r="Q172">
        <v>2957408.1063735671</v>
      </c>
    </row>
    <row r="173" spans="1:17">
      <c r="A173" s="91">
        <v>23468</v>
      </c>
      <c r="B173">
        <v>78.980002999999996</v>
      </c>
      <c r="C173">
        <v>81.199996999999996</v>
      </c>
      <c r="D173">
        <v>78.669998000000007</v>
      </c>
      <c r="E173">
        <v>79.459998999999996</v>
      </c>
      <c r="F173">
        <v>79.459998999999996</v>
      </c>
      <c r="G173">
        <v>123490000</v>
      </c>
      <c r="H173" s="93">
        <f t="shared" si="11"/>
        <v>1.0151670945308318</v>
      </c>
      <c r="I173">
        <f t="shared" si="13"/>
        <v>1.1864203545140455</v>
      </c>
      <c r="J173">
        <f t="shared" si="12"/>
        <v>2.2813268678712393E-2</v>
      </c>
      <c r="K173" s="91">
        <v>23468</v>
      </c>
      <c r="Q173">
        <v>3576643.6137485267</v>
      </c>
    </row>
    <row r="174" spans="1:17">
      <c r="A174" s="91">
        <v>23498</v>
      </c>
      <c r="B174">
        <v>79.459998999999996</v>
      </c>
      <c r="C174">
        <v>81.809997999999993</v>
      </c>
      <c r="D174">
        <v>79.459998999999996</v>
      </c>
      <c r="E174">
        <v>80.370002999999997</v>
      </c>
      <c r="F174">
        <v>80.370002999999997</v>
      </c>
      <c r="G174">
        <v>99150000</v>
      </c>
      <c r="H174" s="93">
        <f t="shared" si="11"/>
        <v>1.006077437095058</v>
      </c>
      <c r="I174">
        <f t="shared" si="13"/>
        <v>1.1383953522179646</v>
      </c>
      <c r="J174">
        <f t="shared" si="12"/>
        <v>2.0215416492845546E-2</v>
      </c>
      <c r="K174" s="91">
        <v>23498</v>
      </c>
      <c r="Q174">
        <v>6953642.2879423033</v>
      </c>
    </row>
    <row r="175" spans="1:17">
      <c r="A175" s="91">
        <v>23529</v>
      </c>
      <c r="B175">
        <v>80.370002999999997</v>
      </c>
      <c r="C175">
        <v>82.099997999999999</v>
      </c>
      <c r="D175">
        <v>78.150002000000001</v>
      </c>
      <c r="E175">
        <v>81.690002000000007</v>
      </c>
      <c r="F175">
        <v>81.690002000000007</v>
      </c>
      <c r="G175">
        <v>96150000</v>
      </c>
      <c r="H175" s="93">
        <f t="shared" si="11"/>
        <v>1.0114523535294784</v>
      </c>
      <c r="I175">
        <f t="shared" si="13"/>
        <v>1.1351694857979031</v>
      </c>
      <c r="J175">
        <f t="shared" si="12"/>
        <v>2.01900121849166E-2</v>
      </c>
      <c r="K175" s="91">
        <v>23529</v>
      </c>
      <c r="Q175">
        <v>1646090.8983700313</v>
      </c>
    </row>
    <row r="176" spans="1:17">
      <c r="A176" s="91">
        <v>23559</v>
      </c>
      <c r="B176">
        <v>81.690002000000007</v>
      </c>
      <c r="C176">
        <v>84.330001999999993</v>
      </c>
      <c r="D176">
        <v>81.459998999999996</v>
      </c>
      <c r="E176">
        <v>83.18</v>
      </c>
      <c r="F176">
        <v>83.18</v>
      </c>
      <c r="G176">
        <v>102590000</v>
      </c>
      <c r="H176" s="93">
        <f t="shared" si="11"/>
        <v>1.0164240257649364</v>
      </c>
      <c r="I176">
        <f t="shared" si="13"/>
        <v>1.1775983633732869</v>
      </c>
      <c r="J176">
        <f t="shared" si="12"/>
        <v>1.7690782346340944E-2</v>
      </c>
      <c r="K176" s="91">
        <v>23559</v>
      </c>
      <c r="Q176">
        <v>2910869.964292876</v>
      </c>
    </row>
    <row r="177" spans="1:17">
      <c r="A177" s="91">
        <v>23590</v>
      </c>
      <c r="B177">
        <v>83.18</v>
      </c>
      <c r="C177">
        <v>83.489998</v>
      </c>
      <c r="D177">
        <v>80.800003000000004</v>
      </c>
      <c r="E177">
        <v>81.830001999999993</v>
      </c>
      <c r="F177">
        <v>81.830001999999993</v>
      </c>
      <c r="G177">
        <v>82280000</v>
      </c>
      <c r="H177" s="93">
        <f t="shared" si="11"/>
        <v>1.0182396616907905</v>
      </c>
      <c r="I177">
        <f t="shared" si="13"/>
        <v>1.203240324167814</v>
      </c>
      <c r="J177">
        <f t="shared" si="12"/>
        <v>1.6848745284578786E-2</v>
      </c>
      <c r="K177" s="91">
        <v>23590</v>
      </c>
      <c r="Q177">
        <v>5558654.3973768903</v>
      </c>
    </row>
    <row r="178" spans="1:17">
      <c r="A178" s="91">
        <v>23621</v>
      </c>
      <c r="B178">
        <v>81.830001999999993</v>
      </c>
      <c r="C178">
        <v>84.800003000000004</v>
      </c>
      <c r="D178">
        <v>81.569999999999993</v>
      </c>
      <c r="E178">
        <v>84.18</v>
      </c>
      <c r="F178">
        <v>84.18</v>
      </c>
      <c r="G178">
        <v>109770000</v>
      </c>
      <c r="H178" s="93">
        <f t="shared" si="11"/>
        <v>0.98377016109641724</v>
      </c>
      <c r="I178">
        <f t="shared" si="13"/>
        <v>1.1286896827586206</v>
      </c>
      <c r="J178">
        <f t="shared" si="12"/>
        <v>1.5648590414393457E-2</v>
      </c>
      <c r="K178" s="91">
        <v>23621</v>
      </c>
      <c r="Q178">
        <v>2765977.7249960923</v>
      </c>
    </row>
    <row r="179" spans="1:17">
      <c r="A179" s="91">
        <v>23651</v>
      </c>
      <c r="B179">
        <v>84.18</v>
      </c>
      <c r="C179">
        <v>85.699996999999996</v>
      </c>
      <c r="D179">
        <v>83.650002000000001</v>
      </c>
      <c r="E179">
        <v>84.860000999999997</v>
      </c>
      <c r="F179">
        <v>84.860000999999997</v>
      </c>
      <c r="G179">
        <v>106550000</v>
      </c>
      <c r="H179" s="93">
        <f t="shared" si="11"/>
        <v>1.0287180489131604</v>
      </c>
      <c r="I179">
        <f t="shared" si="13"/>
        <v>1.1740586265296498</v>
      </c>
      <c r="J179">
        <f t="shared" si="12"/>
        <v>1.4923893570292926E-2</v>
      </c>
      <c r="K179" s="91">
        <v>23651</v>
      </c>
      <c r="Q179">
        <v>2327381.865344367</v>
      </c>
    </row>
    <row r="180" spans="1:17">
      <c r="A180" s="91">
        <v>23682</v>
      </c>
      <c r="B180">
        <v>84.860000999999997</v>
      </c>
      <c r="C180">
        <v>86.800003000000004</v>
      </c>
      <c r="D180">
        <v>84.099997999999999</v>
      </c>
      <c r="E180">
        <v>84.419998000000007</v>
      </c>
      <c r="F180">
        <v>84.419998000000007</v>
      </c>
      <c r="G180">
        <v>93640000</v>
      </c>
      <c r="H180" s="93">
        <f t="shared" si="11"/>
        <v>1.0080779401282964</v>
      </c>
      <c r="I180">
        <f t="shared" si="13"/>
        <v>1.1466017930927768</v>
      </c>
      <c r="J180">
        <f t="shared" si="12"/>
        <v>1.3762605701646266E-2</v>
      </c>
      <c r="K180" s="91">
        <v>23682</v>
      </c>
      <c r="Q180">
        <v>1113039.5577662506</v>
      </c>
    </row>
    <row r="181" spans="1:17">
      <c r="A181" s="91">
        <v>23712</v>
      </c>
      <c r="B181">
        <v>84.419998000000007</v>
      </c>
      <c r="C181">
        <v>85.18</v>
      </c>
      <c r="D181">
        <v>82.650002000000001</v>
      </c>
      <c r="E181">
        <v>84.75</v>
      </c>
      <c r="F181">
        <v>84.75</v>
      </c>
      <c r="G181">
        <v>104010000</v>
      </c>
      <c r="H181" s="93">
        <f t="shared" si="11"/>
        <v>0.99481495410305276</v>
      </c>
      <c r="I181">
        <f t="shared" si="13"/>
        <v>1.1528061524181559</v>
      </c>
      <c r="J181">
        <f t="shared" si="12"/>
        <v>1.3049650110315449E-2</v>
      </c>
      <c r="K181" s="91">
        <v>23712</v>
      </c>
      <c r="Q181">
        <v>3392734.359860294</v>
      </c>
    </row>
    <row r="182" spans="1:17">
      <c r="A182" s="91">
        <v>23743</v>
      </c>
      <c r="B182">
        <v>84.75</v>
      </c>
      <c r="C182">
        <v>88.190002000000007</v>
      </c>
      <c r="D182">
        <v>83.769997000000004</v>
      </c>
      <c r="E182">
        <v>87.559997999999993</v>
      </c>
      <c r="F182">
        <v>87.559997999999993</v>
      </c>
      <c r="G182">
        <v>109130000</v>
      </c>
      <c r="H182" s="93">
        <f t="shared" si="11"/>
        <v>1.0039090500807639</v>
      </c>
      <c r="I182">
        <f t="shared" si="13"/>
        <v>1.1296987921767045</v>
      </c>
      <c r="J182">
        <f t="shared" si="12"/>
        <v>1.2608192466645685E-2</v>
      </c>
      <c r="K182" s="91">
        <v>23743</v>
      </c>
      <c r="Q182">
        <v>4083608.1076736152</v>
      </c>
    </row>
    <row r="183" spans="1:17">
      <c r="A183" s="91">
        <v>23774</v>
      </c>
      <c r="B183">
        <v>87.559997999999993</v>
      </c>
      <c r="C183">
        <v>88.059997999999993</v>
      </c>
      <c r="D183">
        <v>85.25</v>
      </c>
      <c r="E183">
        <v>87.43</v>
      </c>
      <c r="F183">
        <v>87.43</v>
      </c>
      <c r="G183">
        <v>112280000</v>
      </c>
      <c r="H183" s="93">
        <f t="shared" si="11"/>
        <v>1.0331563185840706</v>
      </c>
      <c r="I183">
        <f t="shared" si="13"/>
        <v>1.1365523995774609</v>
      </c>
      <c r="J183">
        <f t="shared" si="12"/>
        <v>1.345545441213143E-2</v>
      </c>
      <c r="K183" s="91">
        <v>23774</v>
      </c>
      <c r="Q183">
        <v>7042611.605263453</v>
      </c>
    </row>
    <row r="184" spans="1:17">
      <c r="A184" s="91">
        <v>23802</v>
      </c>
      <c r="B184">
        <v>87.43</v>
      </c>
      <c r="C184">
        <v>87.93</v>
      </c>
      <c r="D184">
        <v>85.650002000000001</v>
      </c>
      <c r="E184">
        <v>86.160004000000001</v>
      </c>
      <c r="F184">
        <v>86.160004000000001</v>
      </c>
      <c r="G184">
        <v>124830000</v>
      </c>
      <c r="H184" s="93">
        <f t="shared" si="11"/>
        <v>0.99851532659925379</v>
      </c>
      <c r="I184">
        <f t="shared" si="13"/>
        <v>1.1237788769751076</v>
      </c>
      <c r="J184">
        <f t="shared" si="12"/>
        <v>1.3918537388588238E-2</v>
      </c>
      <c r="K184" s="91">
        <v>23802</v>
      </c>
      <c r="Q184">
        <v>3542144.2033423516</v>
      </c>
    </row>
    <row r="185" spans="1:17">
      <c r="A185" s="91">
        <v>23833</v>
      </c>
      <c r="B185">
        <v>86.160004000000001</v>
      </c>
      <c r="C185">
        <v>89.639999000000003</v>
      </c>
      <c r="D185">
        <v>85.870002999999997</v>
      </c>
      <c r="E185">
        <v>89.110000999999997</v>
      </c>
      <c r="F185">
        <v>89.110000999999997</v>
      </c>
      <c r="G185">
        <v>119120000</v>
      </c>
      <c r="H185" s="93">
        <f t="shared" si="11"/>
        <v>0.98547413931144912</v>
      </c>
      <c r="I185">
        <f t="shared" si="13"/>
        <v>1.0909091001174058</v>
      </c>
      <c r="J185">
        <f t="shared" si="12"/>
        <v>1.5444994980113157E-2</v>
      </c>
      <c r="K185" s="91">
        <v>23833</v>
      </c>
      <c r="Q185">
        <v>9920999.6219780482</v>
      </c>
    </row>
    <row r="186" spans="1:17">
      <c r="A186" s="91">
        <v>23863</v>
      </c>
      <c r="B186">
        <v>89.110000999999997</v>
      </c>
      <c r="C186">
        <v>90.68</v>
      </c>
      <c r="D186">
        <v>87.239998</v>
      </c>
      <c r="E186">
        <v>88.419998000000007</v>
      </c>
      <c r="F186">
        <v>88.419998000000007</v>
      </c>
      <c r="G186">
        <v>110190000</v>
      </c>
      <c r="H186" s="93">
        <f t="shared" si="11"/>
        <v>1.0342385894039652</v>
      </c>
      <c r="I186">
        <f t="shared" si="13"/>
        <v>1.1214447787747897</v>
      </c>
      <c r="J186">
        <f t="shared" si="12"/>
        <v>1.7260834206011731E-2</v>
      </c>
      <c r="K186" s="91">
        <v>23863</v>
      </c>
      <c r="Q186">
        <v>668277.1355395508</v>
      </c>
    </row>
    <row r="187" spans="1:17">
      <c r="A187" s="91">
        <v>23894</v>
      </c>
      <c r="B187">
        <v>88.419998000000007</v>
      </c>
      <c r="C187">
        <v>88.800003000000004</v>
      </c>
      <c r="D187">
        <v>80.730002999999996</v>
      </c>
      <c r="E187">
        <v>84.120002999999997</v>
      </c>
      <c r="F187">
        <v>84.120002999999997</v>
      </c>
      <c r="G187">
        <v>128160000</v>
      </c>
      <c r="H187" s="93">
        <f t="shared" si="11"/>
        <v>0.99225672772689133</v>
      </c>
      <c r="I187">
        <f t="shared" si="13"/>
        <v>1.1001616859464347</v>
      </c>
      <c r="J187">
        <f t="shared" si="12"/>
        <v>1.7962184797312084E-2</v>
      </c>
      <c r="K187" s="91">
        <v>23894</v>
      </c>
      <c r="Q187">
        <v>3343760.8593585622</v>
      </c>
    </row>
    <row r="188" spans="1:17">
      <c r="A188" s="91">
        <v>23924</v>
      </c>
      <c r="B188">
        <v>84.120002999999997</v>
      </c>
      <c r="C188">
        <v>86.470000999999996</v>
      </c>
      <c r="D188">
        <v>83.300003000000004</v>
      </c>
      <c r="E188">
        <v>85.25</v>
      </c>
      <c r="F188">
        <v>85.25</v>
      </c>
      <c r="G188">
        <v>85150000</v>
      </c>
      <c r="H188" s="93">
        <f t="shared" si="11"/>
        <v>0.95136852412052741</v>
      </c>
      <c r="I188">
        <f t="shared" si="13"/>
        <v>1.0297466145245044</v>
      </c>
      <c r="J188">
        <f t="shared" si="12"/>
        <v>2.4026139570297936E-2</v>
      </c>
      <c r="K188" s="91">
        <v>23924</v>
      </c>
      <c r="Q188">
        <v>6800680.152993382</v>
      </c>
    </row>
    <row r="189" spans="1:17">
      <c r="A189" s="91">
        <v>23955</v>
      </c>
      <c r="B189">
        <v>85.25</v>
      </c>
      <c r="C189">
        <v>87.790001000000004</v>
      </c>
      <c r="D189">
        <v>84.800003000000004</v>
      </c>
      <c r="E189">
        <v>87.169998000000007</v>
      </c>
      <c r="F189">
        <v>87.169998000000007</v>
      </c>
      <c r="G189">
        <v>109070000</v>
      </c>
      <c r="H189" s="93">
        <f t="shared" si="11"/>
        <v>1.0134331545375719</v>
      </c>
      <c r="I189">
        <f t="shared" si="13"/>
        <v>1.0248857898533301</v>
      </c>
      <c r="J189">
        <f t="shared" si="12"/>
        <v>2.3782566620058777E-2</v>
      </c>
      <c r="K189" s="91">
        <v>23955</v>
      </c>
      <c r="Q189">
        <v>955694.09935507737</v>
      </c>
    </row>
    <row r="190" spans="1:17">
      <c r="A190" s="91">
        <v>23986</v>
      </c>
      <c r="B190">
        <v>87.169998000000007</v>
      </c>
      <c r="C190">
        <v>91.129997000000003</v>
      </c>
      <c r="D190">
        <v>86.690002000000007</v>
      </c>
      <c r="E190">
        <v>89.959998999999996</v>
      </c>
      <c r="F190">
        <v>89.959998999999996</v>
      </c>
      <c r="G190">
        <v>155180000</v>
      </c>
      <c r="H190" s="93">
        <f t="shared" si="11"/>
        <v>1.0225219706744868</v>
      </c>
      <c r="I190">
        <f t="shared" si="13"/>
        <v>1.0652571901440258</v>
      </c>
      <c r="J190">
        <f t="shared" si="12"/>
        <v>2.3666792850339017E-2</v>
      </c>
      <c r="K190" s="91">
        <v>23986</v>
      </c>
      <c r="Q190">
        <v>4782568.2409418328</v>
      </c>
    </row>
    <row r="191" spans="1:17">
      <c r="A191" s="91">
        <v>24016</v>
      </c>
      <c r="B191">
        <v>89.959998999999996</v>
      </c>
      <c r="C191">
        <v>93.190002000000007</v>
      </c>
      <c r="D191">
        <v>89.300003000000004</v>
      </c>
      <c r="E191">
        <v>92.419998000000007</v>
      </c>
      <c r="F191">
        <v>92.419998000000007</v>
      </c>
      <c r="G191">
        <v>164090000</v>
      </c>
      <c r="H191" s="93">
        <f t="shared" si="11"/>
        <v>1.0320064364347008</v>
      </c>
      <c r="I191">
        <f t="shared" si="13"/>
        <v>1.0686623782371107</v>
      </c>
      <c r="J191">
        <f t="shared" si="12"/>
        <v>2.3976569061685198E-2</v>
      </c>
      <c r="K191" s="91">
        <v>24016</v>
      </c>
      <c r="Q191">
        <v>665907.78256279463</v>
      </c>
    </row>
    <row r="192" spans="1:17">
      <c r="A192" s="91">
        <v>24047</v>
      </c>
      <c r="B192">
        <v>92.419998000000007</v>
      </c>
      <c r="C192">
        <v>93.300003000000004</v>
      </c>
      <c r="D192">
        <v>90.809997999999993</v>
      </c>
      <c r="E192">
        <v>91.610000999999997</v>
      </c>
      <c r="F192">
        <v>91.610000999999997</v>
      </c>
      <c r="G192">
        <v>147110000</v>
      </c>
      <c r="H192" s="93">
        <f t="shared" si="11"/>
        <v>1.0273454760709815</v>
      </c>
      <c r="I192">
        <f t="shared" si="13"/>
        <v>1.08908787309583</v>
      </c>
      <c r="J192">
        <f t="shared" si="12"/>
        <v>2.4773814192759366E-2</v>
      </c>
      <c r="K192" s="91">
        <v>24047</v>
      </c>
      <c r="Q192">
        <v>894602.74702027452</v>
      </c>
    </row>
    <row r="193" spans="1:17">
      <c r="A193" s="91">
        <v>24077</v>
      </c>
      <c r="B193">
        <v>91.610000999999997</v>
      </c>
      <c r="C193">
        <v>93.07</v>
      </c>
      <c r="D193">
        <v>89.199996999999996</v>
      </c>
      <c r="E193">
        <v>92.43</v>
      </c>
      <c r="F193">
        <v>92.43</v>
      </c>
      <c r="G193">
        <v>191050000</v>
      </c>
      <c r="H193" s="93">
        <f t="shared" si="11"/>
        <v>0.99123569554719093</v>
      </c>
      <c r="I193">
        <f t="shared" si="13"/>
        <v>1.0851694286938978</v>
      </c>
      <c r="J193">
        <f t="shared" si="12"/>
        <v>2.4960219080631955E-2</v>
      </c>
      <c r="K193" s="91">
        <v>24077</v>
      </c>
      <c r="Q193">
        <v>1907322.0265520529</v>
      </c>
    </row>
    <row r="194" spans="1:17">
      <c r="A194" s="91">
        <v>24108</v>
      </c>
      <c r="B194">
        <v>92.43</v>
      </c>
      <c r="C194">
        <v>94.639999000000003</v>
      </c>
      <c r="D194">
        <v>91.629997000000003</v>
      </c>
      <c r="E194">
        <v>92.879997000000003</v>
      </c>
      <c r="F194">
        <v>92.879997000000003</v>
      </c>
      <c r="G194">
        <v>182910000</v>
      </c>
      <c r="H194" s="93">
        <f t="shared" si="11"/>
        <v>1.0089509768698726</v>
      </c>
      <c r="I194">
        <f t="shared" si="13"/>
        <v>1.0906194690265487</v>
      </c>
      <c r="J194">
        <f t="shared" si="12"/>
        <v>2.4943652443920709E-2</v>
      </c>
      <c r="K194" s="91">
        <v>24108</v>
      </c>
      <c r="Q194">
        <v>13846521.334002344</v>
      </c>
    </row>
    <row r="195" spans="1:17">
      <c r="A195" s="91">
        <v>24139</v>
      </c>
      <c r="B195">
        <v>92.879997000000003</v>
      </c>
      <c r="C195">
        <v>94.720000999999996</v>
      </c>
      <c r="D195">
        <v>90.43</v>
      </c>
      <c r="E195">
        <v>91.220000999999996</v>
      </c>
      <c r="F195">
        <v>91.220000999999996</v>
      </c>
      <c r="G195">
        <v>165790000</v>
      </c>
      <c r="H195" s="93">
        <f t="shared" si="11"/>
        <v>1.0048685167153522</v>
      </c>
      <c r="I195">
        <f t="shared" si="13"/>
        <v>1.0607583271073169</v>
      </c>
      <c r="J195">
        <f t="shared" si="12"/>
        <v>2.3603565839488274E-2</v>
      </c>
      <c r="K195" s="91">
        <v>24139</v>
      </c>
      <c r="Q195">
        <v>20953954.70905</v>
      </c>
    </row>
    <row r="196" spans="1:17">
      <c r="A196" s="91">
        <v>24167</v>
      </c>
      <c r="B196">
        <v>91.220000999999996</v>
      </c>
      <c r="C196">
        <v>91.650002000000001</v>
      </c>
      <c r="D196">
        <v>86.690002000000007</v>
      </c>
      <c r="E196">
        <v>89.230002999999996</v>
      </c>
      <c r="F196">
        <v>89.230002999999996</v>
      </c>
      <c r="G196">
        <v>191360000</v>
      </c>
      <c r="H196" s="93">
        <f t="shared" ref="H196:H259" si="14">B196/B195</f>
        <v>0.98212751880256832</v>
      </c>
      <c r="I196">
        <f t="shared" si="13"/>
        <v>1.0433489763239161</v>
      </c>
      <c r="J196">
        <f t="shared" si="12"/>
        <v>2.4482242546762657E-2</v>
      </c>
      <c r="K196" s="91">
        <v>24167</v>
      </c>
      <c r="Q196">
        <v>3724044.672894116</v>
      </c>
    </row>
    <row r="197" spans="1:17">
      <c r="A197" s="91">
        <v>24198</v>
      </c>
      <c r="B197">
        <v>89.230002999999996</v>
      </c>
      <c r="C197">
        <v>93.019997000000004</v>
      </c>
      <c r="D197">
        <v>88.959998999999996</v>
      </c>
      <c r="E197">
        <v>91.059997999999993</v>
      </c>
      <c r="F197">
        <v>91.059997999999993</v>
      </c>
      <c r="G197">
        <v>186160000</v>
      </c>
      <c r="H197" s="93">
        <f t="shared" si="14"/>
        <v>0.97818463080262408</v>
      </c>
      <c r="I197">
        <f t="shared" si="13"/>
        <v>1.0356313702120998</v>
      </c>
      <c r="J197">
        <f t="shared" si="12"/>
        <v>2.5062359972467019E-2</v>
      </c>
      <c r="K197" s="91">
        <v>24198</v>
      </c>
      <c r="Q197">
        <v>2568486.8815818904</v>
      </c>
    </row>
    <row r="198" spans="1:17">
      <c r="A198" s="91">
        <v>24228</v>
      </c>
      <c r="B198">
        <v>91.059997999999993</v>
      </c>
      <c r="C198">
        <v>91.75</v>
      </c>
      <c r="D198">
        <v>83.18</v>
      </c>
      <c r="E198">
        <v>86.129997000000003</v>
      </c>
      <c r="F198">
        <v>86.129997000000003</v>
      </c>
      <c r="G198">
        <v>171290000</v>
      </c>
      <c r="H198" s="93">
        <f t="shared" si="14"/>
        <v>1.0205087407651436</v>
      </c>
      <c r="I198">
        <f t="shared" si="13"/>
        <v>1.0218830319618109</v>
      </c>
      <c r="J198">
        <f t="shared" si="12"/>
        <v>2.3798675399923294E-2</v>
      </c>
      <c r="K198" s="91">
        <v>24228</v>
      </c>
      <c r="Q198">
        <v>1560869.2838713715</v>
      </c>
    </row>
    <row r="199" spans="1:17">
      <c r="A199" s="91">
        <v>24259</v>
      </c>
      <c r="B199">
        <v>86.129997000000003</v>
      </c>
      <c r="C199">
        <v>87.739998</v>
      </c>
      <c r="D199">
        <v>83.75</v>
      </c>
      <c r="E199">
        <v>84.739998</v>
      </c>
      <c r="F199">
        <v>84.739998</v>
      </c>
      <c r="G199">
        <v>140450000</v>
      </c>
      <c r="H199" s="93">
        <f t="shared" si="14"/>
        <v>0.94585986044058568</v>
      </c>
      <c r="I199">
        <f t="shared" si="13"/>
        <v>0.97410087025787984</v>
      </c>
      <c r="J199">
        <f t="shared" si="12"/>
        <v>2.8784137410961783E-2</v>
      </c>
      <c r="K199" s="91">
        <v>24259</v>
      </c>
      <c r="Q199">
        <v>4257204.2447448354</v>
      </c>
    </row>
    <row r="200" spans="1:17">
      <c r="A200" s="91">
        <v>24289</v>
      </c>
      <c r="B200">
        <v>84.739998</v>
      </c>
      <c r="C200">
        <v>88.190002000000007</v>
      </c>
      <c r="D200">
        <v>83.050003000000004</v>
      </c>
      <c r="E200">
        <v>83.599997999999999</v>
      </c>
      <c r="F200">
        <v>83.599997999999999</v>
      </c>
      <c r="G200">
        <v>119810000</v>
      </c>
      <c r="H200" s="93">
        <f t="shared" si="14"/>
        <v>0.98386161559949892</v>
      </c>
      <c r="I200">
        <f t="shared" si="13"/>
        <v>1.0073703635031968</v>
      </c>
      <c r="J200">
        <f t="shared" si="12"/>
        <v>2.5294894672394097E-2</v>
      </c>
      <c r="K200" s="91">
        <v>24289</v>
      </c>
      <c r="Q200">
        <v>1764057.9288898711</v>
      </c>
    </row>
    <row r="201" spans="1:17">
      <c r="A201" s="91">
        <v>24320</v>
      </c>
      <c r="B201">
        <v>83.5</v>
      </c>
      <c r="C201">
        <v>84.699996999999996</v>
      </c>
      <c r="D201">
        <v>73.910004000000001</v>
      </c>
      <c r="E201">
        <v>77.099997999999999</v>
      </c>
      <c r="F201">
        <v>77.099997999999999</v>
      </c>
      <c r="G201">
        <v>162430000</v>
      </c>
      <c r="H201" s="93">
        <f t="shared" si="14"/>
        <v>0.98536702821258038</v>
      </c>
      <c r="I201">
        <f t="shared" si="13"/>
        <v>0.97947214076246336</v>
      </c>
      <c r="J201">
        <f t="shared" si="12"/>
        <v>2.5329086547464751E-2</v>
      </c>
      <c r="K201" s="91">
        <v>24320</v>
      </c>
      <c r="Q201">
        <v>5164755.6117987772</v>
      </c>
    </row>
    <row r="202" spans="1:17">
      <c r="A202" s="91">
        <v>24351</v>
      </c>
      <c r="B202">
        <v>77.099997999999999</v>
      </c>
      <c r="C202">
        <v>80.809997999999993</v>
      </c>
      <c r="D202">
        <v>75.029999000000004</v>
      </c>
      <c r="E202">
        <v>76.559997999999993</v>
      </c>
      <c r="F202">
        <v>76.559997999999993</v>
      </c>
      <c r="G202">
        <v>120030000</v>
      </c>
      <c r="H202" s="93">
        <f t="shared" si="14"/>
        <v>0.92335326946107787</v>
      </c>
      <c r="I202">
        <f t="shared" si="13"/>
        <v>0.88447860237417919</v>
      </c>
      <c r="J202">
        <f t="shared" si="12"/>
        <v>3.2081554105446913E-2</v>
      </c>
      <c r="K202" s="91">
        <v>24351</v>
      </c>
      <c r="Q202">
        <v>7442640.9174257861</v>
      </c>
    </row>
    <row r="203" spans="1:17">
      <c r="A203" s="91">
        <v>24381</v>
      </c>
      <c r="B203">
        <v>76.559997999999993</v>
      </c>
      <c r="C203">
        <v>80.910004000000001</v>
      </c>
      <c r="D203">
        <v>72.279999000000004</v>
      </c>
      <c r="E203">
        <v>80.199996999999996</v>
      </c>
      <c r="F203">
        <v>80.199996999999996</v>
      </c>
      <c r="G203">
        <v>146210000</v>
      </c>
      <c r="H203" s="93">
        <f t="shared" si="14"/>
        <v>0.99299610876773292</v>
      </c>
      <c r="I203">
        <f t="shared" si="13"/>
        <v>0.85104489607653278</v>
      </c>
      <c r="J203">
        <f t="shared" si="12"/>
        <v>2.9330353301951492E-2</v>
      </c>
      <c r="K203" s="91">
        <v>24381</v>
      </c>
      <c r="Q203">
        <v>3537363.0668208241</v>
      </c>
    </row>
    <row r="204" spans="1:17">
      <c r="A204" s="91">
        <v>24412</v>
      </c>
      <c r="B204">
        <v>80.199996999999996</v>
      </c>
      <c r="C204">
        <v>83.010002</v>
      </c>
      <c r="D204">
        <v>78.889999000000003</v>
      </c>
      <c r="E204">
        <v>80.449996999999996</v>
      </c>
      <c r="F204">
        <v>80.449996999999996</v>
      </c>
      <c r="G204">
        <v>145780000</v>
      </c>
      <c r="H204" s="93">
        <f t="shared" si="14"/>
        <v>1.0475443977937409</v>
      </c>
      <c r="I204">
        <f t="shared" si="13"/>
        <v>0.86777752364807437</v>
      </c>
      <c r="J204">
        <f t="shared" si="12"/>
        <v>3.2283703804865248E-2</v>
      </c>
      <c r="K204" s="91">
        <v>24412</v>
      </c>
      <c r="Q204">
        <v>4074257.6713772654</v>
      </c>
    </row>
    <row r="205" spans="1:17">
      <c r="A205" s="91">
        <v>24442</v>
      </c>
      <c r="B205">
        <v>80.449996999999996</v>
      </c>
      <c r="C205">
        <v>83.879997000000003</v>
      </c>
      <c r="D205">
        <v>79.489998</v>
      </c>
      <c r="E205">
        <v>80.330001999999993</v>
      </c>
      <c r="F205">
        <v>80.330001999999993</v>
      </c>
      <c r="G205">
        <v>165070000</v>
      </c>
      <c r="H205" s="93">
        <f t="shared" si="14"/>
        <v>1.0031172070991474</v>
      </c>
      <c r="I205">
        <f t="shared" si="13"/>
        <v>0.87817919574086678</v>
      </c>
      <c r="J205">
        <f t="shared" si="12"/>
        <v>3.254837950539384E-2</v>
      </c>
      <c r="K205" s="91">
        <v>24442</v>
      </c>
      <c r="Q205">
        <v>2237784.0707082776</v>
      </c>
    </row>
    <row r="206" spans="1:17">
      <c r="A206" s="91">
        <v>24473</v>
      </c>
      <c r="B206">
        <v>80.330001999999993</v>
      </c>
      <c r="C206">
        <v>88.169998000000007</v>
      </c>
      <c r="D206">
        <v>79.430000000000007</v>
      </c>
      <c r="E206">
        <v>86.610000999999997</v>
      </c>
      <c r="F206">
        <v>86.610000999999997</v>
      </c>
      <c r="G206">
        <v>207410000</v>
      </c>
      <c r="H206" s="93">
        <f t="shared" si="14"/>
        <v>0.99850845239932073</v>
      </c>
      <c r="I206">
        <f t="shared" si="13"/>
        <v>0.86909014389267536</v>
      </c>
      <c r="J206">
        <f t="shared" si="12"/>
        <v>3.212455891728138E-2</v>
      </c>
      <c r="K206" s="91">
        <v>24473</v>
      </c>
      <c r="Q206">
        <v>1834019.0126265956</v>
      </c>
    </row>
    <row r="207" spans="1:17">
      <c r="A207" s="91">
        <v>24504</v>
      </c>
      <c r="B207">
        <v>86.610000999999997</v>
      </c>
      <c r="C207">
        <v>89</v>
      </c>
      <c r="D207">
        <v>85.610000999999997</v>
      </c>
      <c r="E207">
        <v>86.779999000000004</v>
      </c>
      <c r="F207">
        <v>86.779999000000004</v>
      </c>
      <c r="G207">
        <v>182950000</v>
      </c>
      <c r="H207" s="93">
        <f t="shared" si="14"/>
        <v>1.0781775033442673</v>
      </c>
      <c r="I207">
        <f t="shared" si="13"/>
        <v>0.93249358093756174</v>
      </c>
      <c r="J207">
        <f t="shared" ref="J207:J270" si="15">_xlfn.STDEV.S(H196:H207)</f>
        <v>4.114898661211059E-2</v>
      </c>
      <c r="K207" s="91">
        <v>24504</v>
      </c>
      <c r="Q207">
        <v>7735597.9181575691</v>
      </c>
    </row>
    <row r="208" spans="1:17">
      <c r="A208" s="91">
        <v>24532</v>
      </c>
      <c r="B208">
        <v>86.779999000000004</v>
      </c>
      <c r="C208">
        <v>91.720000999999996</v>
      </c>
      <c r="D208">
        <v>86.669998000000007</v>
      </c>
      <c r="E208">
        <v>90.199996999999996</v>
      </c>
      <c r="F208">
        <v>90.199996999999996</v>
      </c>
      <c r="G208">
        <v>224640000</v>
      </c>
      <c r="H208" s="93">
        <f t="shared" si="14"/>
        <v>1.0019627987303683</v>
      </c>
      <c r="I208">
        <f t="shared" ref="I208:I271" si="16">B208/B196</f>
        <v>0.95132644210341555</v>
      </c>
      <c r="J208">
        <f t="shared" si="15"/>
        <v>4.0984392563711031E-2</v>
      </c>
      <c r="K208" s="91">
        <v>24532</v>
      </c>
      <c r="Q208">
        <v>5356841.2637702469</v>
      </c>
    </row>
    <row r="209" spans="1:17">
      <c r="A209" s="91">
        <v>24563</v>
      </c>
      <c r="B209">
        <v>90.199996999999996</v>
      </c>
      <c r="C209">
        <v>94.769997000000004</v>
      </c>
      <c r="D209">
        <v>87.860000999999997</v>
      </c>
      <c r="E209">
        <v>94.010002</v>
      </c>
      <c r="F209">
        <v>94.010002</v>
      </c>
      <c r="G209">
        <v>187650000</v>
      </c>
      <c r="H209" s="93">
        <f t="shared" si="14"/>
        <v>1.0394099797120302</v>
      </c>
      <c r="I209">
        <f t="shared" si="16"/>
        <v>1.010870715761379</v>
      </c>
      <c r="J209">
        <f t="shared" si="15"/>
        <v>4.2271470308223036E-2</v>
      </c>
      <c r="K209" s="91">
        <v>24563</v>
      </c>
      <c r="Q209">
        <v>4331607.7862928426</v>
      </c>
    </row>
    <row r="210" spans="1:17">
      <c r="A210" s="91">
        <v>24593</v>
      </c>
      <c r="B210">
        <v>94.010002</v>
      </c>
      <c r="C210">
        <v>95.25</v>
      </c>
      <c r="D210">
        <v>88.709998999999996</v>
      </c>
      <c r="E210">
        <v>89.080001999999993</v>
      </c>
      <c r="F210">
        <v>89.080001999999993</v>
      </c>
      <c r="G210">
        <v>218420000</v>
      </c>
      <c r="H210" s="93">
        <f t="shared" si="14"/>
        <v>1.0422395246864586</v>
      </c>
      <c r="I210">
        <f t="shared" si="16"/>
        <v>1.032396266909648</v>
      </c>
      <c r="J210">
        <f t="shared" si="15"/>
        <v>4.3594218156999896E-2</v>
      </c>
      <c r="K210" s="91">
        <v>24593</v>
      </c>
      <c r="Q210">
        <v>1846932.9634051337</v>
      </c>
    </row>
    <row r="211" spans="1:17">
      <c r="A211" s="91">
        <v>24624</v>
      </c>
      <c r="B211">
        <v>89.080001999999993</v>
      </c>
      <c r="C211">
        <v>93.279999000000004</v>
      </c>
      <c r="D211">
        <v>87.190002000000007</v>
      </c>
      <c r="E211">
        <v>90.639999000000003</v>
      </c>
      <c r="F211">
        <v>90.639999000000003</v>
      </c>
      <c r="G211">
        <v>212590000</v>
      </c>
      <c r="H211" s="93">
        <f t="shared" si="14"/>
        <v>0.94755877145923251</v>
      </c>
      <c r="I211">
        <f t="shared" si="16"/>
        <v>1.0342506107366982</v>
      </c>
      <c r="J211">
        <f t="shared" si="15"/>
        <v>4.3392182620914828E-2</v>
      </c>
      <c r="K211" s="91">
        <v>24624</v>
      </c>
      <c r="Q211">
        <v>10940651.723146444</v>
      </c>
    </row>
    <row r="212" spans="1:17">
      <c r="A212" s="91">
        <v>24654</v>
      </c>
      <c r="B212">
        <v>90.639999000000003</v>
      </c>
      <c r="C212">
        <v>95.510002</v>
      </c>
      <c r="D212">
        <v>90.120002999999997</v>
      </c>
      <c r="E212">
        <v>94.75</v>
      </c>
      <c r="F212">
        <v>94.75</v>
      </c>
      <c r="G212">
        <v>216730000</v>
      </c>
      <c r="H212" s="93">
        <f t="shared" si="14"/>
        <v>1.017512314380056</v>
      </c>
      <c r="I212">
        <f t="shared" si="16"/>
        <v>1.069624747926003</v>
      </c>
      <c r="J212">
        <f t="shared" si="15"/>
        <v>4.3081584682928879E-2</v>
      </c>
      <c r="K212" s="91">
        <v>24654</v>
      </c>
      <c r="Q212">
        <v>2595136.766618642</v>
      </c>
    </row>
    <row r="213" spans="1:17">
      <c r="A213" s="91">
        <v>24685</v>
      </c>
      <c r="B213">
        <v>94.75</v>
      </c>
      <c r="C213">
        <v>96.669998000000007</v>
      </c>
      <c r="D213">
        <v>92.010002</v>
      </c>
      <c r="E213">
        <v>93.639999000000003</v>
      </c>
      <c r="F213">
        <v>93.639999000000003</v>
      </c>
      <c r="G213">
        <v>207800000</v>
      </c>
      <c r="H213" s="93">
        <f t="shared" si="14"/>
        <v>1.0453442304208322</v>
      </c>
      <c r="I213">
        <f t="shared" si="16"/>
        <v>1.1347305389221556</v>
      </c>
      <c r="J213">
        <f t="shared" si="15"/>
        <v>4.3881324958581207E-2</v>
      </c>
      <c r="K213" s="91">
        <v>24685</v>
      </c>
      <c r="Q213">
        <v>1816804.0133715353</v>
      </c>
    </row>
    <row r="214" spans="1:17">
      <c r="A214" s="91">
        <v>24716</v>
      </c>
      <c r="B214">
        <v>93.639999000000003</v>
      </c>
      <c r="C214">
        <v>98.309997999999993</v>
      </c>
      <c r="D214">
        <v>93</v>
      </c>
      <c r="E214">
        <v>96.709998999999996</v>
      </c>
      <c r="F214">
        <v>96.709998999999996</v>
      </c>
      <c r="G214">
        <v>204960000</v>
      </c>
      <c r="H214" s="93">
        <f t="shared" si="14"/>
        <v>0.98828494986807391</v>
      </c>
      <c r="I214">
        <f t="shared" si="16"/>
        <v>1.2145266073807162</v>
      </c>
      <c r="J214">
        <f t="shared" si="15"/>
        <v>3.5164557507629104E-2</v>
      </c>
      <c r="K214" s="91">
        <v>24716</v>
      </c>
      <c r="Q214">
        <v>1522324.0463232938</v>
      </c>
    </row>
    <row r="215" spans="1:17">
      <c r="A215" s="91">
        <v>24746</v>
      </c>
      <c r="B215">
        <v>96.709998999999996</v>
      </c>
      <c r="C215">
        <v>98.25</v>
      </c>
      <c r="D215">
        <v>93.290001000000004</v>
      </c>
      <c r="E215">
        <v>93.300003000000004</v>
      </c>
      <c r="F215">
        <v>93.300003000000004</v>
      </c>
      <c r="G215">
        <v>224780000</v>
      </c>
      <c r="H215" s="93">
        <f t="shared" si="14"/>
        <v>1.0327851349080002</v>
      </c>
      <c r="I215">
        <f t="shared" si="16"/>
        <v>1.263192287439715</v>
      </c>
      <c r="J215">
        <f t="shared" si="15"/>
        <v>3.457793759377259E-2</v>
      </c>
      <c r="K215" s="91">
        <v>24746</v>
      </c>
      <c r="Q215">
        <v>14716871.489655046</v>
      </c>
    </row>
    <row r="216" spans="1:17">
      <c r="A216" s="91">
        <v>24777</v>
      </c>
      <c r="B216">
        <v>93.300003000000004</v>
      </c>
      <c r="C216">
        <v>95.510002</v>
      </c>
      <c r="D216">
        <v>90.089995999999999</v>
      </c>
      <c r="E216">
        <v>94</v>
      </c>
      <c r="F216">
        <v>94</v>
      </c>
      <c r="G216">
        <v>211430000</v>
      </c>
      <c r="H216" s="93">
        <f t="shared" si="14"/>
        <v>0.9647399851591355</v>
      </c>
      <c r="I216">
        <f t="shared" si="16"/>
        <v>1.1633417268082942</v>
      </c>
      <c r="J216">
        <f t="shared" si="15"/>
        <v>3.6815649337604624E-2</v>
      </c>
      <c r="K216" s="91">
        <v>24777</v>
      </c>
      <c r="Q216">
        <v>14305698.164605407</v>
      </c>
    </row>
    <row r="217" spans="1:17">
      <c r="A217" s="91">
        <v>24807</v>
      </c>
      <c r="B217">
        <v>94</v>
      </c>
      <c r="C217">
        <v>96.900002000000001</v>
      </c>
      <c r="D217">
        <v>93.410004000000001</v>
      </c>
      <c r="E217">
        <v>96.470000999999996</v>
      </c>
      <c r="F217">
        <v>96.470000999999996</v>
      </c>
      <c r="G217">
        <v>229460000</v>
      </c>
      <c r="H217" s="93">
        <f t="shared" si="14"/>
        <v>1.0075026471328195</v>
      </c>
      <c r="I217">
        <f t="shared" si="16"/>
        <v>1.168427638350316</v>
      </c>
      <c r="J217">
        <f t="shared" si="15"/>
        <v>3.6727002567886517E-2</v>
      </c>
      <c r="K217" s="91">
        <v>24807</v>
      </c>
      <c r="Q217">
        <v>649416.04810492415</v>
      </c>
    </row>
    <row r="218" spans="1:17">
      <c r="A218" s="91">
        <v>24838</v>
      </c>
      <c r="B218">
        <v>96.470000999999996</v>
      </c>
      <c r="C218">
        <v>97.839995999999999</v>
      </c>
      <c r="D218">
        <v>91.269997000000004</v>
      </c>
      <c r="E218">
        <v>92.239998</v>
      </c>
      <c r="F218">
        <v>92.239998</v>
      </c>
      <c r="G218">
        <v>262770000</v>
      </c>
      <c r="H218" s="93">
        <f t="shared" si="14"/>
        <v>1.0262766063829787</v>
      </c>
      <c r="I218">
        <f t="shared" si="16"/>
        <v>1.2009211825987507</v>
      </c>
      <c r="J218">
        <f t="shared" si="15"/>
        <v>3.6559368241127231E-2</v>
      </c>
      <c r="K218" s="91">
        <v>24838</v>
      </c>
      <c r="Q218">
        <v>5730228.874396326</v>
      </c>
    </row>
    <row r="219" spans="1:17">
      <c r="A219" s="91">
        <v>24869</v>
      </c>
      <c r="B219">
        <v>92.239998</v>
      </c>
      <c r="C219">
        <v>93.440002000000007</v>
      </c>
      <c r="D219">
        <v>86.730002999999996</v>
      </c>
      <c r="E219">
        <v>89.360000999999997</v>
      </c>
      <c r="F219">
        <v>89.360000999999997</v>
      </c>
      <c r="G219">
        <v>174380000</v>
      </c>
      <c r="H219" s="93">
        <f t="shared" si="14"/>
        <v>0.95615214101635604</v>
      </c>
      <c r="I219">
        <f t="shared" si="16"/>
        <v>1.0650040057152292</v>
      </c>
      <c r="J219">
        <f t="shared" si="15"/>
        <v>3.4605774899243144E-2</v>
      </c>
      <c r="K219" s="91">
        <v>24869</v>
      </c>
      <c r="Q219">
        <v>2063793.1762145481</v>
      </c>
    </row>
    <row r="220" spans="1:17">
      <c r="A220" s="91">
        <v>24898</v>
      </c>
      <c r="B220">
        <v>89.360000999999997</v>
      </c>
      <c r="C220">
        <v>91.089995999999999</v>
      </c>
      <c r="D220">
        <v>86.989998</v>
      </c>
      <c r="E220">
        <v>90.199996999999996</v>
      </c>
      <c r="F220">
        <v>90.199996999999996</v>
      </c>
      <c r="G220">
        <v>192610000</v>
      </c>
      <c r="H220" s="93">
        <f t="shared" si="14"/>
        <v>0.96877713505587892</v>
      </c>
      <c r="I220">
        <f t="shared" si="16"/>
        <v>1.0297303760051897</v>
      </c>
      <c r="J220">
        <f t="shared" si="15"/>
        <v>3.6229427774786833E-2</v>
      </c>
      <c r="K220" s="91">
        <v>24898</v>
      </c>
      <c r="Q220">
        <v>4725329.3922720607</v>
      </c>
    </row>
    <row r="221" spans="1:17">
      <c r="A221" s="91">
        <v>24929</v>
      </c>
      <c r="B221">
        <v>91.110000999999997</v>
      </c>
      <c r="C221">
        <v>98.610000999999997</v>
      </c>
      <c r="D221">
        <v>91.110000999999997</v>
      </c>
      <c r="E221">
        <v>97.459998999999996</v>
      </c>
      <c r="F221">
        <v>97.459998999999996</v>
      </c>
      <c r="G221">
        <v>295420000</v>
      </c>
      <c r="H221" s="93">
        <f t="shared" si="14"/>
        <v>1.0195837061371564</v>
      </c>
      <c r="I221">
        <f t="shared" si="16"/>
        <v>1.0100887364774525</v>
      </c>
      <c r="J221">
        <f t="shared" si="15"/>
        <v>3.4846141789065421E-2</v>
      </c>
      <c r="K221" s="91">
        <v>24929</v>
      </c>
      <c r="Q221">
        <v>14442193.616705194</v>
      </c>
    </row>
    <row r="222" spans="1:17">
      <c r="A222" s="91">
        <v>24959</v>
      </c>
      <c r="B222">
        <v>97.459998999999996</v>
      </c>
      <c r="C222">
        <v>100.19000200000001</v>
      </c>
      <c r="D222">
        <v>95.800003000000004</v>
      </c>
      <c r="E222">
        <v>98.68</v>
      </c>
      <c r="F222">
        <v>98.68</v>
      </c>
      <c r="G222">
        <v>291980000</v>
      </c>
      <c r="H222" s="93">
        <f t="shared" si="14"/>
        <v>1.0696959491856444</v>
      </c>
      <c r="I222">
        <f t="shared" si="16"/>
        <v>1.0366981909010065</v>
      </c>
      <c r="J222">
        <f t="shared" si="15"/>
        <v>3.8483330867943172E-2</v>
      </c>
      <c r="K222" s="91">
        <v>24959</v>
      </c>
      <c r="Q222">
        <v>4543952.3226400185</v>
      </c>
    </row>
    <row r="223" spans="1:17">
      <c r="A223" s="91">
        <v>24990</v>
      </c>
      <c r="B223">
        <v>98.720000999999996</v>
      </c>
      <c r="C223">
        <v>102.839996</v>
      </c>
      <c r="D223">
        <v>98.720000999999996</v>
      </c>
      <c r="E223">
        <v>99.580001999999993</v>
      </c>
      <c r="F223">
        <v>99.580001999999993</v>
      </c>
      <c r="G223">
        <v>257290000</v>
      </c>
      <c r="H223" s="93">
        <f t="shared" si="14"/>
        <v>1.0129284015280977</v>
      </c>
      <c r="I223">
        <f t="shared" si="16"/>
        <v>1.1082173190790903</v>
      </c>
      <c r="J223">
        <f t="shared" si="15"/>
        <v>3.4205119554344382E-2</v>
      </c>
      <c r="K223" s="91">
        <v>24990</v>
      </c>
      <c r="Q223">
        <v>3187894.6465645283</v>
      </c>
    </row>
    <row r="224" spans="1:17">
      <c r="A224" s="91">
        <v>25020</v>
      </c>
      <c r="B224">
        <v>99.580001999999993</v>
      </c>
      <c r="C224">
        <v>103.66999800000001</v>
      </c>
      <c r="D224">
        <v>96.839995999999999</v>
      </c>
      <c r="E224">
        <v>97.739998</v>
      </c>
      <c r="F224">
        <v>97.739998</v>
      </c>
      <c r="G224">
        <v>242450000</v>
      </c>
      <c r="H224" s="93">
        <f t="shared" si="14"/>
        <v>1.0087115173347698</v>
      </c>
      <c r="I224">
        <f t="shared" si="16"/>
        <v>1.0986319847598409</v>
      </c>
      <c r="J224">
        <f t="shared" si="15"/>
        <v>3.4103297232563098E-2</v>
      </c>
      <c r="K224" s="91">
        <v>25020</v>
      </c>
      <c r="Q224">
        <v>1469384.6232318422</v>
      </c>
    </row>
    <row r="225" spans="1:17">
      <c r="A225" s="91">
        <v>25051</v>
      </c>
      <c r="B225">
        <v>97.739998</v>
      </c>
      <c r="C225">
        <v>99.669998000000007</v>
      </c>
      <c r="D225">
        <v>95.790001000000004</v>
      </c>
      <c r="E225">
        <v>98.860000999999997</v>
      </c>
      <c r="F225">
        <v>98.860000999999997</v>
      </c>
      <c r="G225">
        <v>193970000</v>
      </c>
      <c r="H225" s="93">
        <f t="shared" si="14"/>
        <v>0.98152235425743417</v>
      </c>
      <c r="I225">
        <f t="shared" si="16"/>
        <v>1.0315567071240106</v>
      </c>
      <c r="J225">
        <f t="shared" si="15"/>
        <v>3.2768183329777829E-2</v>
      </c>
      <c r="K225" s="91">
        <v>25051</v>
      </c>
      <c r="Q225">
        <v>426575.65225156007</v>
      </c>
    </row>
    <row r="226" spans="1:17">
      <c r="A226" s="91">
        <v>25082</v>
      </c>
      <c r="B226">
        <v>98.860000999999997</v>
      </c>
      <c r="C226">
        <v>103.629997</v>
      </c>
      <c r="D226">
        <v>98.309997999999993</v>
      </c>
      <c r="E226">
        <v>102.66999800000001</v>
      </c>
      <c r="F226">
        <v>102.66999800000001</v>
      </c>
      <c r="G226">
        <v>228300000</v>
      </c>
      <c r="H226" s="93">
        <f t="shared" si="14"/>
        <v>1.0114590037130959</v>
      </c>
      <c r="I226">
        <f t="shared" si="16"/>
        <v>1.0557454298990328</v>
      </c>
      <c r="J226">
        <f t="shared" si="15"/>
        <v>3.2498743076957957E-2</v>
      </c>
      <c r="K226" s="91">
        <v>25082</v>
      </c>
      <c r="Q226">
        <v>2966851.6066124677</v>
      </c>
    </row>
    <row r="227" spans="1:17">
      <c r="A227" s="91">
        <v>25112</v>
      </c>
      <c r="B227">
        <v>102.66999800000001</v>
      </c>
      <c r="C227">
        <v>105.779999</v>
      </c>
      <c r="D227">
        <v>101.800003</v>
      </c>
      <c r="E227">
        <v>103.410004</v>
      </c>
      <c r="F227">
        <v>103.410004</v>
      </c>
      <c r="G227">
        <v>272200000</v>
      </c>
      <c r="H227" s="93">
        <f t="shared" si="14"/>
        <v>1.0385393178379596</v>
      </c>
      <c r="I227">
        <f t="shared" si="16"/>
        <v>1.061627536569409</v>
      </c>
      <c r="J227">
        <f t="shared" si="15"/>
        <v>3.2984617833841552E-2</v>
      </c>
      <c r="K227" s="91">
        <v>25112</v>
      </c>
      <c r="Q227">
        <v>1416872.5645748174</v>
      </c>
    </row>
    <row r="228" spans="1:17">
      <c r="A228" s="91">
        <v>25143</v>
      </c>
      <c r="B228">
        <v>103.410004</v>
      </c>
      <c r="C228">
        <v>109.089996</v>
      </c>
      <c r="D228">
        <v>101.849998</v>
      </c>
      <c r="E228">
        <v>108.370003</v>
      </c>
      <c r="F228">
        <v>108.370003</v>
      </c>
      <c r="G228">
        <v>251850000</v>
      </c>
      <c r="H228" s="93">
        <f t="shared" si="14"/>
        <v>1.0072076167762269</v>
      </c>
      <c r="I228">
        <f t="shared" si="16"/>
        <v>1.1083601358512283</v>
      </c>
      <c r="J228">
        <f t="shared" si="15"/>
        <v>3.0391188865213123E-2</v>
      </c>
      <c r="K228" s="91">
        <v>25143</v>
      </c>
      <c r="Q228">
        <v>2851048.4738532952</v>
      </c>
    </row>
    <row r="229" spans="1:17">
      <c r="A229" s="91">
        <v>25173</v>
      </c>
      <c r="B229">
        <v>108.370003</v>
      </c>
      <c r="C229">
        <v>109.370003</v>
      </c>
      <c r="D229">
        <v>102.980003</v>
      </c>
      <c r="E229">
        <v>103.860001</v>
      </c>
      <c r="F229">
        <v>103.860001</v>
      </c>
      <c r="G229">
        <v>267480000</v>
      </c>
      <c r="H229" s="93">
        <f t="shared" si="14"/>
        <v>1.0479644019741068</v>
      </c>
      <c r="I229">
        <f t="shared" si="16"/>
        <v>1.1528723723404255</v>
      </c>
      <c r="J229">
        <f t="shared" si="15"/>
        <v>3.2385487282665687E-2</v>
      </c>
      <c r="K229" s="91">
        <v>25173</v>
      </c>
      <c r="Q229">
        <v>2024455.1316937252</v>
      </c>
    </row>
    <row r="230" spans="1:17">
      <c r="A230" s="91">
        <v>25204</v>
      </c>
      <c r="B230">
        <v>103.860001</v>
      </c>
      <c r="C230">
        <v>104.870003</v>
      </c>
      <c r="D230">
        <v>96.629997000000003</v>
      </c>
      <c r="E230">
        <v>103.010002</v>
      </c>
      <c r="F230">
        <v>103.010002</v>
      </c>
      <c r="G230">
        <v>266600000</v>
      </c>
      <c r="H230" s="93">
        <f t="shared" si="14"/>
        <v>0.95838329911276277</v>
      </c>
      <c r="I230">
        <f t="shared" si="16"/>
        <v>1.0766041248408404</v>
      </c>
      <c r="J230">
        <f t="shared" si="15"/>
        <v>3.5519958173452111E-2</v>
      </c>
      <c r="K230" s="91">
        <v>25204</v>
      </c>
      <c r="Q230">
        <v>1453683.3248100562</v>
      </c>
    </row>
    <row r="231" spans="1:17">
      <c r="A231" s="91">
        <v>25235</v>
      </c>
      <c r="B231">
        <v>103.010002</v>
      </c>
      <c r="C231">
        <v>104.610001</v>
      </c>
      <c r="D231">
        <v>97.360000999999997</v>
      </c>
      <c r="E231">
        <v>98.129997000000003</v>
      </c>
      <c r="F231">
        <v>98.129997000000003</v>
      </c>
      <c r="G231">
        <v>207490000</v>
      </c>
      <c r="H231" s="93">
        <f t="shared" si="14"/>
        <v>0.99181591573448957</v>
      </c>
      <c r="I231">
        <f t="shared" si="16"/>
        <v>1.1167606703547412</v>
      </c>
      <c r="J231">
        <f t="shared" si="15"/>
        <v>3.2242941313684492E-2</v>
      </c>
      <c r="K231" s="91">
        <v>25235</v>
      </c>
      <c r="Q231">
        <v>5204717.6233979892</v>
      </c>
    </row>
    <row r="232" spans="1:17">
      <c r="A232" s="91">
        <v>25263</v>
      </c>
      <c r="B232">
        <v>98.129997000000003</v>
      </c>
      <c r="C232">
        <v>102.349998</v>
      </c>
      <c r="D232">
        <v>97.059997999999993</v>
      </c>
      <c r="E232">
        <v>101.510002</v>
      </c>
      <c r="F232">
        <v>101.510002</v>
      </c>
      <c r="G232">
        <v>199110000</v>
      </c>
      <c r="H232" s="93">
        <f t="shared" si="14"/>
        <v>0.95262591102561089</v>
      </c>
      <c r="I232">
        <f t="shared" si="16"/>
        <v>1.0981422997074497</v>
      </c>
      <c r="J232">
        <f t="shared" si="15"/>
        <v>3.4373906463297063E-2</v>
      </c>
      <c r="K232" s="91">
        <v>25263</v>
      </c>
      <c r="Q232">
        <v>1345826.7852791916</v>
      </c>
    </row>
    <row r="233" spans="1:17">
      <c r="A233" s="91">
        <v>25294</v>
      </c>
      <c r="B233">
        <v>101.510002</v>
      </c>
      <c r="C233">
        <v>104.55999799999999</v>
      </c>
      <c r="D233">
        <v>99.080001999999993</v>
      </c>
      <c r="E233">
        <v>103.69000200000001</v>
      </c>
      <c r="F233">
        <v>103.69000200000001</v>
      </c>
      <c r="G233">
        <v>236930000</v>
      </c>
      <c r="H233" s="93">
        <f t="shared" si="14"/>
        <v>1.034444156764827</v>
      </c>
      <c r="I233">
        <f t="shared" si="16"/>
        <v>1.1141477432318325</v>
      </c>
      <c r="J233">
        <f t="shared" si="15"/>
        <v>3.5075163513056271E-2</v>
      </c>
      <c r="K233" s="91">
        <v>25294</v>
      </c>
      <c r="Q233">
        <v>10109523.244855322</v>
      </c>
    </row>
    <row r="234" spans="1:17">
      <c r="A234" s="91">
        <v>25324</v>
      </c>
      <c r="B234">
        <v>103.69000200000001</v>
      </c>
      <c r="C234">
        <v>106.739998</v>
      </c>
      <c r="D234">
        <v>102.290001</v>
      </c>
      <c r="E234">
        <v>103.459999</v>
      </c>
      <c r="F234">
        <v>103.459999</v>
      </c>
      <c r="G234">
        <v>256580000</v>
      </c>
      <c r="H234" s="93">
        <f t="shared" si="14"/>
        <v>1.0214757162550347</v>
      </c>
      <c r="I234">
        <f t="shared" si="16"/>
        <v>1.0639236924268798</v>
      </c>
      <c r="J234">
        <f t="shared" si="15"/>
        <v>2.9953703711325625E-2</v>
      </c>
      <c r="K234" s="91">
        <v>25324</v>
      </c>
      <c r="Q234">
        <v>6146239.7555140182</v>
      </c>
    </row>
    <row r="235" spans="1:17">
      <c r="A235" s="91">
        <v>25355</v>
      </c>
      <c r="B235">
        <v>103.459999</v>
      </c>
      <c r="C235">
        <v>103.75</v>
      </c>
      <c r="D235">
        <v>95.209998999999996</v>
      </c>
      <c r="E235">
        <v>97.709998999999996</v>
      </c>
      <c r="F235">
        <v>97.709998999999996</v>
      </c>
      <c r="G235">
        <v>235130000</v>
      </c>
      <c r="H235" s="93">
        <f t="shared" si="14"/>
        <v>0.99778182085482059</v>
      </c>
      <c r="I235">
        <f t="shared" si="16"/>
        <v>1.048014565964196</v>
      </c>
      <c r="J235">
        <f t="shared" si="15"/>
        <v>2.9935474974048328E-2</v>
      </c>
      <c r="K235" s="91">
        <v>25355</v>
      </c>
      <c r="Q235">
        <v>15383715.817874368</v>
      </c>
    </row>
    <row r="236" spans="1:17">
      <c r="A236" s="91">
        <v>25385</v>
      </c>
      <c r="B236">
        <v>97.709998999999996</v>
      </c>
      <c r="C236">
        <v>100.33000199999999</v>
      </c>
      <c r="D236">
        <v>88.040001000000004</v>
      </c>
      <c r="E236">
        <v>91.830001999999993</v>
      </c>
      <c r="F236">
        <v>91.830001999999993</v>
      </c>
      <c r="G236">
        <v>228250000</v>
      </c>
      <c r="H236" s="93">
        <f t="shared" si="14"/>
        <v>0.94442296486007116</v>
      </c>
      <c r="I236">
        <f t="shared" si="16"/>
        <v>0.98122109899134169</v>
      </c>
      <c r="J236">
        <f t="shared" si="15"/>
        <v>3.4486342345821118E-2</v>
      </c>
      <c r="K236" s="91">
        <v>25385</v>
      </c>
      <c r="Q236">
        <v>1461872.0773252409</v>
      </c>
    </row>
    <row r="237" spans="1:17">
      <c r="A237" s="91">
        <v>25416</v>
      </c>
      <c r="B237">
        <v>91.919998000000007</v>
      </c>
      <c r="C237">
        <v>96.43</v>
      </c>
      <c r="D237">
        <v>91.480002999999996</v>
      </c>
      <c r="E237">
        <v>95.510002</v>
      </c>
      <c r="F237">
        <v>95.510002</v>
      </c>
      <c r="G237">
        <v>201680000</v>
      </c>
      <c r="H237" s="93">
        <f t="shared" si="14"/>
        <v>0.94074300420369472</v>
      </c>
      <c r="I237">
        <f t="shared" si="16"/>
        <v>0.94045426520266562</v>
      </c>
      <c r="J237">
        <f t="shared" si="15"/>
        <v>3.8173986649321937E-2</v>
      </c>
      <c r="K237" s="91">
        <v>25416</v>
      </c>
      <c r="Q237">
        <v>10698496.703221276</v>
      </c>
    </row>
    <row r="238" spans="1:17">
      <c r="A238" s="91">
        <v>25447</v>
      </c>
      <c r="B238">
        <v>95.510002</v>
      </c>
      <c r="C238">
        <v>96.620002999999997</v>
      </c>
      <c r="D238">
        <v>91.769997000000004</v>
      </c>
      <c r="E238">
        <v>93.120002999999997</v>
      </c>
      <c r="F238">
        <v>93.120002999999997</v>
      </c>
      <c r="G238">
        <v>219150000</v>
      </c>
      <c r="H238" s="93">
        <f t="shared" si="14"/>
        <v>1.0390557449751032</v>
      </c>
      <c r="I238">
        <f t="shared" si="16"/>
        <v>0.96611370659403495</v>
      </c>
      <c r="J238">
        <f t="shared" si="15"/>
        <v>4.000541327998567E-2</v>
      </c>
      <c r="K238" s="91">
        <v>25447</v>
      </c>
      <c r="Q238">
        <v>3606756.6862573544</v>
      </c>
    </row>
    <row r="239" spans="1:17">
      <c r="A239" s="91">
        <v>25477</v>
      </c>
      <c r="B239">
        <v>93.120002999999997</v>
      </c>
      <c r="C239">
        <v>98.830001999999993</v>
      </c>
      <c r="D239">
        <v>91.660004000000001</v>
      </c>
      <c r="E239">
        <v>97.120002999999997</v>
      </c>
      <c r="F239">
        <v>97.120002999999997</v>
      </c>
      <c r="G239">
        <v>310110000</v>
      </c>
      <c r="H239" s="93">
        <f t="shared" si="14"/>
        <v>0.97497645325146154</v>
      </c>
      <c r="I239">
        <f t="shared" si="16"/>
        <v>0.90698358638323917</v>
      </c>
      <c r="J239">
        <f t="shared" si="15"/>
        <v>3.8303108230750213E-2</v>
      </c>
      <c r="K239" s="91">
        <v>25477</v>
      </c>
      <c r="Q239">
        <v>4562379.926158173</v>
      </c>
    </row>
    <row r="240" spans="1:17">
      <c r="A240" s="91">
        <v>25508</v>
      </c>
      <c r="B240">
        <v>97.120002999999997</v>
      </c>
      <c r="C240">
        <v>99.230002999999996</v>
      </c>
      <c r="D240">
        <v>92.239998</v>
      </c>
      <c r="E240">
        <v>93.809997999999993</v>
      </c>
      <c r="F240">
        <v>93.809997999999993</v>
      </c>
      <c r="G240">
        <v>213600000</v>
      </c>
      <c r="H240" s="93">
        <f t="shared" si="14"/>
        <v>1.042955325076611</v>
      </c>
      <c r="I240">
        <f t="shared" si="16"/>
        <v>0.93917415378883451</v>
      </c>
      <c r="J240">
        <f t="shared" si="15"/>
        <v>4.0850057380525849E-2</v>
      </c>
      <c r="K240" s="91">
        <v>25508</v>
      </c>
      <c r="Q240">
        <v>3584278.6803351818</v>
      </c>
    </row>
    <row r="241" spans="1:17">
      <c r="A241" s="91">
        <v>25538</v>
      </c>
      <c r="B241">
        <v>93.809997999999993</v>
      </c>
      <c r="C241">
        <v>94.470000999999996</v>
      </c>
      <c r="D241">
        <v>88.620002999999997</v>
      </c>
      <c r="E241">
        <v>92.059997999999993</v>
      </c>
      <c r="F241">
        <v>92.059997999999993</v>
      </c>
      <c r="G241">
        <v>272350000</v>
      </c>
      <c r="H241" s="93">
        <f t="shared" si="14"/>
        <v>0.96591840097039527</v>
      </c>
      <c r="I241">
        <f t="shared" si="16"/>
        <v>0.86564543142072259</v>
      </c>
      <c r="J241">
        <f t="shared" si="15"/>
        <v>3.8050696373945411E-2</v>
      </c>
      <c r="K241" s="91">
        <v>25538</v>
      </c>
      <c r="Q241">
        <v>2768486.585027955</v>
      </c>
    </row>
    <row r="242" spans="1:17">
      <c r="A242" s="91">
        <v>25569</v>
      </c>
      <c r="B242">
        <v>92.059997999999993</v>
      </c>
      <c r="C242">
        <v>94.25</v>
      </c>
      <c r="D242">
        <v>84.419998000000007</v>
      </c>
      <c r="E242">
        <v>85.019997000000004</v>
      </c>
      <c r="F242">
        <v>85.019997000000004</v>
      </c>
      <c r="G242">
        <v>221090000</v>
      </c>
      <c r="H242" s="93">
        <f t="shared" si="14"/>
        <v>0.98134527196131061</v>
      </c>
      <c r="I242">
        <f t="shared" si="16"/>
        <v>0.88638549117672349</v>
      </c>
      <c r="J242">
        <f t="shared" si="15"/>
        <v>3.694800025912684E-2</v>
      </c>
      <c r="K242" s="91">
        <v>25569</v>
      </c>
      <c r="Q242">
        <v>740287.49142124737</v>
      </c>
    </row>
    <row r="243" spans="1:17">
      <c r="A243" s="91">
        <v>25600</v>
      </c>
      <c r="B243">
        <v>85.019997000000004</v>
      </c>
      <c r="C243">
        <v>90.330001999999993</v>
      </c>
      <c r="D243">
        <v>84.639999000000003</v>
      </c>
      <c r="E243">
        <v>89.5</v>
      </c>
      <c r="F243">
        <v>89.5</v>
      </c>
      <c r="G243">
        <v>228380000</v>
      </c>
      <c r="H243" s="93">
        <f t="shared" si="14"/>
        <v>0.92352812130193629</v>
      </c>
      <c r="I243">
        <f t="shared" si="16"/>
        <v>0.82535671633129382</v>
      </c>
      <c r="J243">
        <f t="shared" si="15"/>
        <v>4.1701715230062449E-2</v>
      </c>
      <c r="K243" s="91">
        <v>25600</v>
      </c>
      <c r="Q243">
        <v>1864606.2580080812</v>
      </c>
    </row>
    <row r="244" spans="1:17">
      <c r="A244" s="91">
        <v>25628</v>
      </c>
      <c r="B244">
        <v>89.5</v>
      </c>
      <c r="C244">
        <v>91.07</v>
      </c>
      <c r="D244">
        <v>86.190002000000007</v>
      </c>
      <c r="E244">
        <v>89.629997000000003</v>
      </c>
      <c r="F244">
        <v>89.629997000000003</v>
      </c>
      <c r="G244">
        <v>212880000</v>
      </c>
      <c r="H244" s="93">
        <f t="shared" si="14"/>
        <v>1.0526935210312933</v>
      </c>
      <c r="I244">
        <f t="shared" si="16"/>
        <v>0.9120554645487251</v>
      </c>
      <c r="J244">
        <f t="shared" si="15"/>
        <v>4.455982786986655E-2</v>
      </c>
      <c r="K244" s="91">
        <v>25628</v>
      </c>
      <c r="Q244">
        <v>3546104.2656798786</v>
      </c>
    </row>
    <row r="245" spans="1:17">
      <c r="A245" s="91">
        <v>25659</v>
      </c>
      <c r="B245">
        <v>89.629997000000003</v>
      </c>
      <c r="C245">
        <v>90.699996999999996</v>
      </c>
      <c r="D245">
        <v>79.309997999999993</v>
      </c>
      <c r="E245">
        <v>81.519997000000004</v>
      </c>
      <c r="F245">
        <v>81.519997000000004</v>
      </c>
      <c r="G245">
        <v>223120000</v>
      </c>
      <c r="H245" s="93">
        <f t="shared" si="14"/>
        <v>1.0014524804469274</v>
      </c>
      <c r="I245">
        <f t="shared" si="16"/>
        <v>0.88296714839981982</v>
      </c>
      <c r="J245">
        <f t="shared" si="15"/>
        <v>4.2770902441245047E-2</v>
      </c>
      <c r="K245" s="91">
        <v>25659</v>
      </c>
      <c r="Q245">
        <v>4926464.5864670686</v>
      </c>
    </row>
    <row r="246" spans="1:17">
      <c r="A246" s="91">
        <v>25689</v>
      </c>
      <c r="B246">
        <v>81.519997000000004</v>
      </c>
      <c r="C246">
        <v>82.32</v>
      </c>
      <c r="D246">
        <v>68.610000999999997</v>
      </c>
      <c r="E246">
        <v>76.550003000000004</v>
      </c>
      <c r="F246">
        <v>76.550003000000004</v>
      </c>
      <c r="G246">
        <v>258220000</v>
      </c>
      <c r="H246" s="93">
        <f t="shared" si="14"/>
        <v>0.9095168997941615</v>
      </c>
      <c r="I246">
        <f t="shared" si="16"/>
        <v>0.78618955952956771</v>
      </c>
      <c r="J246">
        <f t="shared" si="15"/>
        <v>4.7370457678518753E-2</v>
      </c>
      <c r="K246" s="91">
        <v>25689</v>
      </c>
      <c r="Q246">
        <v>2422416.589165072</v>
      </c>
    </row>
    <row r="247" spans="1:17">
      <c r="A247" s="91">
        <v>25720</v>
      </c>
      <c r="B247">
        <v>76.550003000000004</v>
      </c>
      <c r="C247">
        <v>79.959998999999996</v>
      </c>
      <c r="D247">
        <v>72.25</v>
      </c>
      <c r="E247">
        <v>72.720000999999996</v>
      </c>
      <c r="F247">
        <v>72.720000999999996</v>
      </c>
      <c r="G247">
        <v>226420000</v>
      </c>
      <c r="H247" s="93">
        <f t="shared" si="14"/>
        <v>0.93903343740309508</v>
      </c>
      <c r="I247">
        <f t="shared" si="16"/>
        <v>0.73989951420741851</v>
      </c>
      <c r="J247">
        <f t="shared" si="15"/>
        <v>4.8522640336434324E-2</v>
      </c>
      <c r="K247" s="91">
        <v>25720</v>
      </c>
      <c r="Q247">
        <v>15175783.045556886</v>
      </c>
    </row>
    <row r="248" spans="1:17">
      <c r="A248" s="91">
        <v>25750</v>
      </c>
      <c r="B248">
        <v>72.720000999999996</v>
      </c>
      <c r="C248">
        <v>79.029999000000004</v>
      </c>
      <c r="D248">
        <v>70.690002000000007</v>
      </c>
      <c r="E248">
        <v>78.050003000000004</v>
      </c>
      <c r="F248">
        <v>78.050003000000004</v>
      </c>
      <c r="G248">
        <v>227740000</v>
      </c>
      <c r="H248" s="93">
        <f t="shared" si="14"/>
        <v>0.94996731744086271</v>
      </c>
      <c r="I248">
        <f t="shared" si="16"/>
        <v>0.74424318641124942</v>
      </c>
      <c r="J248">
        <f t="shared" si="15"/>
        <v>4.8216912876613678E-2</v>
      </c>
      <c r="K248" s="91">
        <v>25750</v>
      </c>
      <c r="Q248">
        <v>2962480.9466207963</v>
      </c>
    </row>
    <row r="249" spans="1:17">
      <c r="A249" s="91">
        <v>25781</v>
      </c>
      <c r="B249">
        <v>78.050003000000004</v>
      </c>
      <c r="C249">
        <v>82.470000999999996</v>
      </c>
      <c r="D249">
        <v>74.129997000000003</v>
      </c>
      <c r="E249">
        <v>81.519997000000004</v>
      </c>
      <c r="F249">
        <v>81.519997000000004</v>
      </c>
      <c r="G249">
        <v>218690000</v>
      </c>
      <c r="H249" s="93">
        <f t="shared" si="14"/>
        <v>1.0732948559777935</v>
      </c>
      <c r="I249">
        <f t="shared" si="16"/>
        <v>0.849107971042384</v>
      </c>
      <c r="J249">
        <f t="shared" si="15"/>
        <v>5.4045190093563775E-2</v>
      </c>
      <c r="K249" s="91">
        <v>25781</v>
      </c>
      <c r="Q249">
        <v>3289826.3482083562</v>
      </c>
    </row>
    <row r="250" spans="1:17">
      <c r="A250" s="91">
        <v>25812</v>
      </c>
      <c r="B250">
        <v>81.519997000000004</v>
      </c>
      <c r="C250">
        <v>84.989998</v>
      </c>
      <c r="D250">
        <v>79.949996999999996</v>
      </c>
      <c r="E250">
        <v>84.300003000000004</v>
      </c>
      <c r="F250">
        <v>84.300003000000004</v>
      </c>
      <c r="G250">
        <v>303290000</v>
      </c>
      <c r="H250" s="93">
        <f t="shared" si="14"/>
        <v>1.0444586017504702</v>
      </c>
      <c r="I250">
        <f t="shared" si="16"/>
        <v>0.8535231420055881</v>
      </c>
      <c r="J250">
        <f t="shared" si="15"/>
        <v>5.4531223224563531E-2</v>
      </c>
      <c r="K250" s="91">
        <v>25812</v>
      </c>
      <c r="Q250">
        <v>2597926.1316599981</v>
      </c>
    </row>
    <row r="251" spans="1:17">
      <c r="A251" s="91">
        <v>25842</v>
      </c>
      <c r="B251">
        <v>84.300003000000004</v>
      </c>
      <c r="C251">
        <v>87.75</v>
      </c>
      <c r="D251">
        <v>82.290001000000004</v>
      </c>
      <c r="E251">
        <v>83.25</v>
      </c>
      <c r="F251">
        <v>83.25</v>
      </c>
      <c r="G251">
        <v>261370000</v>
      </c>
      <c r="H251" s="93">
        <f t="shared" si="14"/>
        <v>1.0341021357005202</v>
      </c>
      <c r="I251">
        <f t="shared" si="16"/>
        <v>0.90528350820607262</v>
      </c>
      <c r="J251">
        <f t="shared" si="15"/>
        <v>5.5876260843749317E-2</v>
      </c>
      <c r="K251" s="91">
        <v>25842</v>
      </c>
      <c r="Q251">
        <v>4074764.6978060026</v>
      </c>
    </row>
    <row r="252" spans="1:17">
      <c r="A252" s="91">
        <v>25873</v>
      </c>
      <c r="B252">
        <v>83.25</v>
      </c>
      <c r="C252">
        <v>87.599997999999999</v>
      </c>
      <c r="D252">
        <v>82.230002999999996</v>
      </c>
      <c r="E252">
        <v>87.199996999999996</v>
      </c>
      <c r="F252">
        <v>87.199996999999996</v>
      </c>
      <c r="G252">
        <v>230290000</v>
      </c>
      <c r="H252" s="93">
        <f t="shared" si="14"/>
        <v>0.98754444884183457</v>
      </c>
      <c r="I252">
        <f t="shared" si="16"/>
        <v>0.85718695869480155</v>
      </c>
      <c r="J252">
        <f t="shared" si="15"/>
        <v>5.3634297710480602E-2</v>
      </c>
      <c r="K252" s="91">
        <v>25873</v>
      </c>
      <c r="Q252">
        <v>902738.968997758</v>
      </c>
    </row>
    <row r="253" spans="1:17">
      <c r="A253" s="91">
        <v>25903</v>
      </c>
      <c r="B253">
        <v>87.199996999999996</v>
      </c>
      <c r="C253">
        <v>92.989998</v>
      </c>
      <c r="D253">
        <v>86.110000999999997</v>
      </c>
      <c r="E253">
        <v>92.150002000000001</v>
      </c>
      <c r="F253">
        <v>92.150002000000001</v>
      </c>
      <c r="G253">
        <v>335240000</v>
      </c>
      <c r="H253" s="93">
        <f t="shared" si="14"/>
        <v>1.0474474114114114</v>
      </c>
      <c r="I253">
        <f t="shared" si="16"/>
        <v>0.92953841657687708</v>
      </c>
      <c r="J253">
        <f t="shared" si="15"/>
        <v>5.5630555663294778E-2</v>
      </c>
      <c r="K253" s="91">
        <v>25903</v>
      </c>
      <c r="Q253">
        <v>4762812.0812454447</v>
      </c>
    </row>
    <row r="254" spans="1:17">
      <c r="A254" s="91">
        <v>25934</v>
      </c>
      <c r="B254">
        <v>92.150002000000001</v>
      </c>
      <c r="C254">
        <v>96.489998</v>
      </c>
      <c r="D254">
        <v>90.639999000000003</v>
      </c>
      <c r="E254">
        <v>95.879997000000003</v>
      </c>
      <c r="F254">
        <v>95.879997000000003</v>
      </c>
      <c r="G254">
        <v>348490000</v>
      </c>
      <c r="H254" s="93">
        <f t="shared" si="14"/>
        <v>1.0567661143382838</v>
      </c>
      <c r="I254">
        <f t="shared" si="16"/>
        <v>1.000977666760323</v>
      </c>
      <c r="J254">
        <f t="shared" si="15"/>
        <v>5.810789973858671E-2</v>
      </c>
      <c r="K254" s="91">
        <v>25934</v>
      </c>
      <c r="Q254">
        <v>3321903.547511993</v>
      </c>
    </row>
    <row r="255" spans="1:17">
      <c r="A255" s="91">
        <v>25965</v>
      </c>
      <c r="B255">
        <v>95.879997000000003</v>
      </c>
      <c r="C255">
        <v>99.589995999999999</v>
      </c>
      <c r="D255">
        <v>94.919998000000007</v>
      </c>
      <c r="E255">
        <v>96.75</v>
      </c>
      <c r="F255">
        <v>96.75</v>
      </c>
      <c r="G255">
        <v>371190000</v>
      </c>
      <c r="H255" s="93">
        <f t="shared" si="14"/>
        <v>1.0404774272278368</v>
      </c>
      <c r="I255">
        <f t="shared" si="16"/>
        <v>1.1277346551776519</v>
      </c>
      <c r="J255">
        <f t="shared" si="15"/>
        <v>5.3433461966979214E-2</v>
      </c>
      <c r="K255" s="91">
        <v>25965</v>
      </c>
      <c r="Q255">
        <v>3220459.5114045003</v>
      </c>
    </row>
    <row r="256" spans="1:17">
      <c r="A256" s="91">
        <v>25993</v>
      </c>
      <c r="B256">
        <v>96.75</v>
      </c>
      <c r="C256">
        <v>102.029999</v>
      </c>
      <c r="D256">
        <v>96.110000999999997</v>
      </c>
      <c r="E256">
        <v>100.30999799999999</v>
      </c>
      <c r="F256">
        <v>100.30999799999999</v>
      </c>
      <c r="G256">
        <v>389880000</v>
      </c>
      <c r="H256" s="93">
        <f t="shared" si="14"/>
        <v>1.0090738738759033</v>
      </c>
      <c r="I256">
        <f t="shared" si="16"/>
        <v>1.0810055865921788</v>
      </c>
      <c r="J256">
        <f t="shared" si="15"/>
        <v>5.1828259755730945E-2</v>
      </c>
      <c r="K256" s="91">
        <v>25993</v>
      </c>
      <c r="Q256">
        <v>9664941.7578739021</v>
      </c>
    </row>
    <row r="257" spans="1:17">
      <c r="A257" s="91">
        <v>26024</v>
      </c>
      <c r="B257">
        <v>100.30999799999999</v>
      </c>
      <c r="C257">
        <v>105.599998</v>
      </c>
      <c r="D257">
        <v>99.629997000000003</v>
      </c>
      <c r="E257">
        <v>103.949997</v>
      </c>
      <c r="F257">
        <v>103.949997</v>
      </c>
      <c r="G257">
        <v>401580000</v>
      </c>
      <c r="H257" s="93">
        <f t="shared" si="14"/>
        <v>1.0367958449612402</v>
      </c>
      <c r="I257">
        <f t="shared" si="16"/>
        <v>1.1191565475562828</v>
      </c>
      <c r="J257">
        <f t="shared" si="15"/>
        <v>5.2437811297977817E-2</v>
      </c>
      <c r="K257" s="91">
        <v>26024</v>
      </c>
      <c r="Q257">
        <v>1728814.649969198</v>
      </c>
    </row>
    <row r="258" spans="1:17">
      <c r="A258" s="91">
        <v>26054</v>
      </c>
      <c r="B258">
        <v>103.949997</v>
      </c>
      <c r="C258">
        <v>104.41999800000001</v>
      </c>
      <c r="D258">
        <v>98.68</v>
      </c>
      <c r="E258">
        <v>99.629997000000003</v>
      </c>
      <c r="F258">
        <v>99.629997000000003</v>
      </c>
      <c r="G258">
        <v>307360000</v>
      </c>
      <c r="H258" s="93">
        <f t="shared" si="14"/>
        <v>1.0362874994773701</v>
      </c>
      <c r="I258">
        <f t="shared" si="16"/>
        <v>1.2751472132659669</v>
      </c>
      <c r="J258">
        <f t="shared" si="15"/>
        <v>4.1912004210305526E-2</v>
      </c>
      <c r="K258" s="91">
        <v>26054</v>
      </c>
      <c r="Q258">
        <v>4828701.4064853024</v>
      </c>
    </row>
    <row r="259" spans="1:17">
      <c r="A259" s="91">
        <v>26085</v>
      </c>
      <c r="B259">
        <v>99.629997000000003</v>
      </c>
      <c r="C259">
        <v>102.07</v>
      </c>
      <c r="D259">
        <v>96.919998000000007</v>
      </c>
      <c r="E259">
        <v>98.699996999999996</v>
      </c>
      <c r="F259">
        <v>98.699996999999996</v>
      </c>
      <c r="G259">
        <v>303590000</v>
      </c>
      <c r="H259" s="93">
        <f t="shared" si="14"/>
        <v>0.95844155724218061</v>
      </c>
      <c r="I259">
        <f t="shared" si="16"/>
        <v>1.3015021958914881</v>
      </c>
      <c r="J259">
        <f t="shared" si="15"/>
        <v>3.870156146113507E-2</v>
      </c>
      <c r="K259" s="91">
        <v>26085</v>
      </c>
      <c r="Q259">
        <v>1499758.5320422975</v>
      </c>
    </row>
    <row r="260" spans="1:17">
      <c r="A260" s="91">
        <v>26115</v>
      </c>
      <c r="B260">
        <v>99.160004000000001</v>
      </c>
      <c r="C260">
        <v>101.519997</v>
      </c>
      <c r="D260">
        <v>95.080001999999993</v>
      </c>
      <c r="E260">
        <v>95.580001999999993</v>
      </c>
      <c r="F260">
        <v>95.580001999999993</v>
      </c>
      <c r="G260">
        <v>265240000</v>
      </c>
      <c r="H260" s="93">
        <f t="shared" ref="H260:H323" si="17">B260/B259</f>
        <v>0.99528261553596153</v>
      </c>
      <c r="I260">
        <f t="shared" si="16"/>
        <v>1.3635863948901761</v>
      </c>
      <c r="J260">
        <f t="shared" si="15"/>
        <v>3.2682243611362176E-2</v>
      </c>
      <c r="K260" s="91">
        <v>26115</v>
      </c>
      <c r="Q260">
        <v>5535105.969168161</v>
      </c>
    </row>
    <row r="261" spans="1:17">
      <c r="A261" s="91">
        <v>26146</v>
      </c>
      <c r="B261">
        <v>95.580001999999993</v>
      </c>
      <c r="C261">
        <v>101.510002</v>
      </c>
      <c r="D261">
        <v>92.809997999999993</v>
      </c>
      <c r="E261">
        <v>99.029999000000004</v>
      </c>
      <c r="F261">
        <v>99.029999000000004</v>
      </c>
      <c r="G261">
        <v>320520000</v>
      </c>
      <c r="H261" s="93">
        <f t="shared" si="17"/>
        <v>0.96389671384039066</v>
      </c>
      <c r="I261">
        <f t="shared" si="16"/>
        <v>1.2245995941857939</v>
      </c>
      <c r="J261">
        <f t="shared" si="15"/>
        <v>3.3733535408174392E-2</v>
      </c>
      <c r="K261" s="91">
        <v>26146</v>
      </c>
      <c r="Q261">
        <v>2410782.9900680324</v>
      </c>
    </row>
    <row r="262" spans="1:17">
      <c r="A262" s="91">
        <v>26177</v>
      </c>
      <c r="B262">
        <v>99.029999000000004</v>
      </c>
      <c r="C262">
        <v>102.25</v>
      </c>
      <c r="D262">
        <v>96.970000999999996</v>
      </c>
      <c r="E262">
        <v>98.339995999999999</v>
      </c>
      <c r="F262">
        <v>98.339995999999999</v>
      </c>
      <c r="G262">
        <v>252720000</v>
      </c>
      <c r="H262" s="93">
        <f t="shared" si="17"/>
        <v>1.0360953853087387</v>
      </c>
      <c r="I262">
        <f t="shared" si="16"/>
        <v>1.2147939480419756</v>
      </c>
      <c r="J262">
        <f t="shared" si="15"/>
        <v>3.3209335317561227E-2</v>
      </c>
      <c r="K262" s="91">
        <v>26177</v>
      </c>
      <c r="Q262">
        <v>4708048.2099732105</v>
      </c>
    </row>
    <row r="263" spans="1:17">
      <c r="A263" s="91">
        <v>26207</v>
      </c>
      <c r="B263">
        <v>98.339995999999999</v>
      </c>
      <c r="C263">
        <v>100.959999</v>
      </c>
      <c r="D263">
        <v>92.959998999999996</v>
      </c>
      <c r="E263">
        <v>94.230002999999996</v>
      </c>
      <c r="F263">
        <v>94.230002999999996</v>
      </c>
      <c r="G263">
        <v>280080000</v>
      </c>
      <c r="H263" s="93">
        <f t="shared" si="17"/>
        <v>0.99303238405566374</v>
      </c>
      <c r="I263">
        <f t="shared" si="16"/>
        <v>1.1665479537408794</v>
      </c>
      <c r="J263">
        <f t="shared" si="15"/>
        <v>3.3385649104173687E-2</v>
      </c>
      <c r="K263" s="91">
        <v>26207</v>
      </c>
      <c r="Q263">
        <v>935452.52676752955</v>
      </c>
    </row>
    <row r="264" spans="1:17">
      <c r="A264" s="91">
        <v>26238</v>
      </c>
      <c r="B264">
        <v>94.230002999999996</v>
      </c>
      <c r="C264">
        <v>96.080001999999993</v>
      </c>
      <c r="D264">
        <v>89.339995999999999</v>
      </c>
      <c r="E264">
        <v>93.989998</v>
      </c>
      <c r="F264">
        <v>93.989998</v>
      </c>
      <c r="G264">
        <v>276410000</v>
      </c>
      <c r="H264" s="93">
        <f t="shared" si="17"/>
        <v>0.95820629278854152</v>
      </c>
      <c r="I264">
        <f t="shared" si="16"/>
        <v>1.1318919279279278</v>
      </c>
      <c r="J264">
        <f t="shared" si="15"/>
        <v>3.6392299971252186E-2</v>
      </c>
      <c r="K264" s="91">
        <v>26238</v>
      </c>
      <c r="Q264">
        <v>4256936.2130147526</v>
      </c>
    </row>
    <row r="265" spans="1:17">
      <c r="A265" s="91">
        <v>26268</v>
      </c>
      <c r="B265">
        <v>93.989998</v>
      </c>
      <c r="C265">
        <v>102.209999</v>
      </c>
      <c r="D265">
        <v>93.949996999999996</v>
      </c>
      <c r="E265">
        <v>102.089996</v>
      </c>
      <c r="F265">
        <v>102.089996</v>
      </c>
      <c r="G265">
        <v>377680000</v>
      </c>
      <c r="H265" s="93">
        <f t="shared" si="17"/>
        <v>0.99745298745241473</v>
      </c>
      <c r="I265">
        <f t="shared" si="16"/>
        <v>1.0778669866238642</v>
      </c>
      <c r="J265">
        <f t="shared" si="15"/>
        <v>3.465882396821978E-2</v>
      </c>
      <c r="K265" s="91">
        <v>26268</v>
      </c>
      <c r="Q265">
        <v>8257248.4524086658</v>
      </c>
    </row>
    <row r="266" spans="1:17">
      <c r="A266" s="91">
        <v>26299</v>
      </c>
      <c r="B266">
        <v>102.089996</v>
      </c>
      <c r="C266">
        <v>105</v>
      </c>
      <c r="D266">
        <v>100.870003</v>
      </c>
      <c r="E266">
        <v>103.94000200000001</v>
      </c>
      <c r="F266">
        <v>103.94000200000001</v>
      </c>
      <c r="G266">
        <v>379490000</v>
      </c>
      <c r="H266" s="93">
        <f t="shared" si="17"/>
        <v>1.0861793613401289</v>
      </c>
      <c r="I266">
        <f t="shared" si="16"/>
        <v>1.1078675397098743</v>
      </c>
      <c r="J266">
        <f t="shared" si="15"/>
        <v>3.924854055833242E-2</v>
      </c>
      <c r="K266" s="91">
        <v>26299</v>
      </c>
      <c r="Q266">
        <v>2717743.4693623288</v>
      </c>
    </row>
    <row r="267" spans="1:17">
      <c r="A267" s="91">
        <v>26330</v>
      </c>
      <c r="B267">
        <v>103.94000200000001</v>
      </c>
      <c r="C267">
        <v>107.160004</v>
      </c>
      <c r="D267">
        <v>103.099998</v>
      </c>
      <c r="E267">
        <v>106.57</v>
      </c>
      <c r="F267">
        <v>106.57</v>
      </c>
      <c r="G267">
        <v>376260000</v>
      </c>
      <c r="H267" s="93">
        <f t="shared" si="17"/>
        <v>1.0181213250316907</v>
      </c>
      <c r="I267">
        <f t="shared" si="16"/>
        <v>1.0840634673778724</v>
      </c>
      <c r="J267">
        <f t="shared" si="15"/>
        <v>3.8147623358722779E-2</v>
      </c>
      <c r="K267" s="91">
        <v>26330</v>
      </c>
      <c r="Q267">
        <v>1028243.1759207567</v>
      </c>
    </row>
    <row r="268" spans="1:17">
      <c r="A268" s="91">
        <v>26359</v>
      </c>
      <c r="B268">
        <v>106.57</v>
      </c>
      <c r="C268">
        <v>109.75</v>
      </c>
      <c r="D268">
        <v>105.860001</v>
      </c>
      <c r="E268">
        <v>107.199997</v>
      </c>
      <c r="F268">
        <v>107.199997</v>
      </c>
      <c r="G268">
        <v>403650000</v>
      </c>
      <c r="H268" s="93">
        <f t="shared" si="17"/>
        <v>1.0253030397286309</v>
      </c>
      <c r="I268">
        <f t="shared" si="16"/>
        <v>1.1014987080103358</v>
      </c>
      <c r="J268">
        <f t="shared" si="15"/>
        <v>3.8498220638554355E-2</v>
      </c>
      <c r="K268" s="91">
        <v>26359</v>
      </c>
      <c r="Q268">
        <v>4090170.4791586227</v>
      </c>
    </row>
    <row r="269" spans="1:17">
      <c r="A269" s="91">
        <v>26390</v>
      </c>
      <c r="B269">
        <v>107.199997</v>
      </c>
      <c r="C269">
        <v>111.110001</v>
      </c>
      <c r="D269">
        <v>106.18</v>
      </c>
      <c r="E269">
        <v>107.66999800000001</v>
      </c>
      <c r="F269">
        <v>107.66999800000001</v>
      </c>
      <c r="G269">
        <v>367990000</v>
      </c>
      <c r="H269" s="93">
        <f t="shared" si="17"/>
        <v>1.0059115792436897</v>
      </c>
      <c r="I269">
        <f t="shared" si="16"/>
        <v>1.0686870614831436</v>
      </c>
      <c r="J269">
        <f t="shared" si="15"/>
        <v>3.7472089825861997E-2</v>
      </c>
      <c r="K269" s="91">
        <v>26390</v>
      </c>
      <c r="Q269">
        <v>2268456.3843760798</v>
      </c>
    </row>
    <row r="270" spans="1:17">
      <c r="A270" s="91">
        <v>26420</v>
      </c>
      <c r="B270">
        <v>107.66999800000001</v>
      </c>
      <c r="C270">
        <v>111.480003</v>
      </c>
      <c r="D270">
        <v>103.83000199999999</v>
      </c>
      <c r="E270">
        <v>109.529999</v>
      </c>
      <c r="F270">
        <v>109.529999</v>
      </c>
      <c r="G270">
        <v>335850000</v>
      </c>
      <c r="H270" s="93">
        <f t="shared" si="17"/>
        <v>1.0043843378092634</v>
      </c>
      <c r="I270">
        <f t="shared" si="16"/>
        <v>1.0357864464392434</v>
      </c>
      <c r="J270">
        <f t="shared" si="15"/>
        <v>3.6254087806225056E-2</v>
      </c>
      <c r="K270" s="91">
        <v>26420</v>
      </c>
      <c r="Q270">
        <v>2018642.7542919412</v>
      </c>
    </row>
    <row r="271" spans="1:17">
      <c r="A271" s="91">
        <v>26451</v>
      </c>
      <c r="B271">
        <v>109.529999</v>
      </c>
      <c r="C271">
        <v>110.510002</v>
      </c>
      <c r="D271">
        <v>105.94000200000001</v>
      </c>
      <c r="E271">
        <v>107.139999</v>
      </c>
      <c r="F271">
        <v>107.139999</v>
      </c>
      <c r="G271">
        <v>314510000</v>
      </c>
      <c r="H271" s="93">
        <f t="shared" si="17"/>
        <v>1.017275016574255</v>
      </c>
      <c r="I271">
        <f t="shared" si="16"/>
        <v>1.0993676834096462</v>
      </c>
      <c r="J271">
        <f t="shared" ref="J271:J334" si="18">_xlfn.STDEV.S(H260:H271)</f>
        <v>3.3474510708975405E-2</v>
      </c>
      <c r="K271" s="91">
        <v>26451</v>
      </c>
      <c r="Q271">
        <v>15343070.896072296</v>
      </c>
    </row>
    <row r="272" spans="1:17">
      <c r="A272" s="91">
        <v>26481</v>
      </c>
      <c r="B272">
        <v>107.139999</v>
      </c>
      <c r="C272">
        <v>110.269997</v>
      </c>
      <c r="D272">
        <v>104.43</v>
      </c>
      <c r="E272">
        <v>107.389999</v>
      </c>
      <c r="F272">
        <v>107.389999</v>
      </c>
      <c r="G272">
        <v>288900000</v>
      </c>
      <c r="H272" s="93">
        <f t="shared" si="17"/>
        <v>0.97817949400328219</v>
      </c>
      <c r="I272">
        <f t="shared" ref="I272:I335" si="19">B272/B260</f>
        <v>1.0804759447165815</v>
      </c>
      <c r="J272">
        <f t="shared" si="18"/>
        <v>3.4435421096924282E-2</v>
      </c>
      <c r="K272" s="91">
        <v>26481</v>
      </c>
      <c r="Q272">
        <v>7024819.3285246743</v>
      </c>
    </row>
    <row r="273" spans="1:17">
      <c r="A273" s="91">
        <v>26512</v>
      </c>
      <c r="B273">
        <v>107.389999</v>
      </c>
      <c r="C273">
        <v>113.449997</v>
      </c>
      <c r="D273">
        <v>107.05999799999999</v>
      </c>
      <c r="E273">
        <v>111.089996</v>
      </c>
      <c r="F273">
        <v>111.089996</v>
      </c>
      <c r="G273">
        <v>356930000</v>
      </c>
      <c r="H273" s="93">
        <f t="shared" si="17"/>
        <v>1.0023333955789937</v>
      </c>
      <c r="I273">
        <f t="shared" si="19"/>
        <v>1.1235613805490401</v>
      </c>
      <c r="J273">
        <f t="shared" si="18"/>
        <v>3.1743727554237308E-2</v>
      </c>
      <c r="K273" s="91">
        <v>26512</v>
      </c>
      <c r="Q273">
        <v>625250.95644973917</v>
      </c>
    </row>
    <row r="274" spans="1:17">
      <c r="A274" s="91">
        <v>26543</v>
      </c>
      <c r="B274">
        <v>111.089996</v>
      </c>
      <c r="C274">
        <v>112.120003</v>
      </c>
      <c r="D274">
        <v>107.349998</v>
      </c>
      <c r="E274">
        <v>110.550003</v>
      </c>
      <c r="F274">
        <v>110.550003</v>
      </c>
      <c r="G274">
        <v>246190000</v>
      </c>
      <c r="H274" s="93">
        <f t="shared" si="17"/>
        <v>1.034453832148746</v>
      </c>
      <c r="I274">
        <f t="shared" si="19"/>
        <v>1.1217812493363752</v>
      </c>
      <c r="J274">
        <f t="shared" si="18"/>
        <v>3.1625334888117924E-2</v>
      </c>
      <c r="K274" s="91">
        <v>26543</v>
      </c>
      <c r="Q274">
        <v>5200784.0635734061</v>
      </c>
    </row>
    <row r="275" spans="1:17">
      <c r="A275" s="91">
        <v>26573</v>
      </c>
      <c r="B275">
        <v>110.550003</v>
      </c>
      <c r="C275">
        <v>112.260002</v>
      </c>
      <c r="D275">
        <v>106.269997</v>
      </c>
      <c r="E275">
        <v>111.58000199999999</v>
      </c>
      <c r="F275">
        <v>111.58000199999999</v>
      </c>
      <c r="G275">
        <v>317300000</v>
      </c>
      <c r="H275" s="93">
        <f t="shared" si="17"/>
        <v>0.99513913926146869</v>
      </c>
      <c r="I275">
        <f t="shared" si="19"/>
        <v>1.1241611500573989</v>
      </c>
      <c r="J275">
        <f t="shared" si="18"/>
        <v>3.1527855928107959E-2</v>
      </c>
      <c r="K275" s="91">
        <v>26573</v>
      </c>
      <c r="Q275">
        <v>1237708.1261935362</v>
      </c>
    </row>
    <row r="276" spans="1:17">
      <c r="A276" s="91">
        <v>26604</v>
      </c>
      <c r="B276">
        <v>111.58000199999999</v>
      </c>
      <c r="C276">
        <v>117.910004</v>
      </c>
      <c r="D276">
        <v>111.32</v>
      </c>
      <c r="E276">
        <v>116.66999800000001</v>
      </c>
      <c r="F276">
        <v>116.66999800000001</v>
      </c>
      <c r="G276">
        <v>405570000</v>
      </c>
      <c r="H276" s="93">
        <f t="shared" si="17"/>
        <v>1.009317041809578</v>
      </c>
      <c r="I276">
        <f t="shared" si="19"/>
        <v>1.1841239355579771</v>
      </c>
      <c r="J276">
        <f t="shared" si="18"/>
        <v>2.6983506845572557E-2</v>
      </c>
      <c r="K276" s="91">
        <v>26604</v>
      </c>
      <c r="Q276">
        <v>2469249.5524639897</v>
      </c>
    </row>
    <row r="277" spans="1:17">
      <c r="A277" s="91">
        <v>26634</v>
      </c>
      <c r="B277">
        <v>116.66999800000001</v>
      </c>
      <c r="C277">
        <v>119.790001</v>
      </c>
      <c r="D277">
        <v>114.629997</v>
      </c>
      <c r="E277">
        <v>118.050003</v>
      </c>
      <c r="F277">
        <v>118.050003</v>
      </c>
      <c r="G277">
        <v>344730000</v>
      </c>
      <c r="H277" s="93">
        <f t="shared" si="17"/>
        <v>1.0456174575082013</v>
      </c>
      <c r="I277">
        <f t="shared" si="19"/>
        <v>1.2413022713331689</v>
      </c>
      <c r="J277">
        <f t="shared" si="18"/>
        <v>2.7786814700746374E-2</v>
      </c>
      <c r="K277" s="91">
        <v>26634</v>
      </c>
      <c r="Q277">
        <v>1529175.1674392258</v>
      </c>
    </row>
    <row r="278" spans="1:17">
      <c r="A278" s="91">
        <v>26665</v>
      </c>
      <c r="B278">
        <v>118.05999799999999</v>
      </c>
      <c r="C278">
        <v>121.739998</v>
      </c>
      <c r="D278">
        <v>114.970001</v>
      </c>
      <c r="E278">
        <v>116.029999</v>
      </c>
      <c r="F278">
        <v>116.029999</v>
      </c>
      <c r="G278">
        <v>393750000</v>
      </c>
      <c r="H278" s="93">
        <f t="shared" si="17"/>
        <v>1.0119139455200812</v>
      </c>
      <c r="I278">
        <f t="shared" si="19"/>
        <v>1.1564306261702664</v>
      </c>
      <c r="J278">
        <f t="shared" si="18"/>
        <v>1.7835375229629503E-2</v>
      </c>
      <c r="K278" s="91">
        <v>26665</v>
      </c>
      <c r="Q278">
        <v>917616.94337575871</v>
      </c>
    </row>
    <row r="279" spans="1:17">
      <c r="A279" s="91">
        <v>26696</v>
      </c>
      <c r="B279">
        <v>116.029999</v>
      </c>
      <c r="C279">
        <v>118.980003</v>
      </c>
      <c r="D279">
        <v>109.800003</v>
      </c>
      <c r="E279">
        <v>111.68</v>
      </c>
      <c r="F279">
        <v>111.68</v>
      </c>
      <c r="G279">
        <v>318190000</v>
      </c>
      <c r="H279" s="93">
        <f t="shared" si="17"/>
        <v>0.98280536138921504</v>
      </c>
      <c r="I279">
        <f t="shared" si="19"/>
        <v>1.1163170749217419</v>
      </c>
      <c r="J279">
        <f t="shared" si="18"/>
        <v>1.9617421713093754E-2</v>
      </c>
      <c r="K279" s="91">
        <v>26696</v>
      </c>
      <c r="Q279">
        <v>4092744.7314831428</v>
      </c>
    </row>
    <row r="280" spans="1:17">
      <c r="A280" s="91">
        <v>26724</v>
      </c>
      <c r="B280">
        <v>111.68</v>
      </c>
      <c r="C280">
        <v>115.610001</v>
      </c>
      <c r="D280">
        <v>107.410004</v>
      </c>
      <c r="E280">
        <v>111.519997</v>
      </c>
      <c r="F280">
        <v>111.519997</v>
      </c>
      <c r="G280">
        <v>343400000</v>
      </c>
      <c r="H280" s="93">
        <f t="shared" si="17"/>
        <v>0.96250970406368785</v>
      </c>
      <c r="I280">
        <f t="shared" si="19"/>
        <v>1.0479497044196304</v>
      </c>
      <c r="J280">
        <f t="shared" si="18"/>
        <v>2.3058707947367179E-2</v>
      </c>
      <c r="K280" s="91">
        <v>26724</v>
      </c>
      <c r="Q280">
        <v>2082182.3245146351</v>
      </c>
    </row>
    <row r="281" spans="1:17">
      <c r="A281" s="91">
        <v>26755</v>
      </c>
      <c r="B281">
        <v>111.519997</v>
      </c>
      <c r="C281">
        <v>113.650002</v>
      </c>
      <c r="D281">
        <v>105.44000200000001</v>
      </c>
      <c r="E281">
        <v>106.970001</v>
      </c>
      <c r="F281">
        <v>106.970001</v>
      </c>
      <c r="G281">
        <v>277990000</v>
      </c>
      <c r="H281" s="93">
        <f t="shared" si="17"/>
        <v>0.99856730838108876</v>
      </c>
      <c r="I281">
        <f t="shared" si="19"/>
        <v>1.0402985085904435</v>
      </c>
      <c r="J281">
        <f t="shared" si="18"/>
        <v>2.3105217620091715E-2</v>
      </c>
      <c r="K281" s="91">
        <v>26755</v>
      </c>
      <c r="Q281">
        <v>41973824.256195426</v>
      </c>
    </row>
    <row r="282" spans="1:17">
      <c r="A282" s="91">
        <v>26785</v>
      </c>
      <c r="B282">
        <v>106.970001</v>
      </c>
      <c r="C282">
        <v>112.25</v>
      </c>
      <c r="D282">
        <v>101.360001</v>
      </c>
      <c r="E282">
        <v>104.949997</v>
      </c>
      <c r="F282">
        <v>104.949997</v>
      </c>
      <c r="G282">
        <v>337260000</v>
      </c>
      <c r="H282" s="93">
        <f t="shared" si="17"/>
        <v>0.9592001782424725</v>
      </c>
      <c r="I282">
        <f t="shared" si="19"/>
        <v>0.99349868103461825</v>
      </c>
      <c r="J282">
        <f t="shared" si="18"/>
        <v>2.6401886133827171E-2</v>
      </c>
      <c r="K282" s="91">
        <v>26785</v>
      </c>
      <c r="Q282">
        <v>3976870.4499994041</v>
      </c>
    </row>
    <row r="283" spans="1:17">
      <c r="A283" s="91">
        <v>26816</v>
      </c>
      <c r="B283">
        <v>104.949997</v>
      </c>
      <c r="C283">
        <v>109.519997</v>
      </c>
      <c r="D283">
        <v>101.449997</v>
      </c>
      <c r="E283">
        <v>104.260002</v>
      </c>
      <c r="F283">
        <v>104.260002</v>
      </c>
      <c r="G283">
        <v>268700000</v>
      </c>
      <c r="H283" s="93">
        <f t="shared" si="17"/>
        <v>0.98111616358683595</v>
      </c>
      <c r="I283">
        <f t="shared" si="19"/>
        <v>0.95818495351214228</v>
      </c>
      <c r="J283">
        <f t="shared" si="18"/>
        <v>2.6286314175635001E-2</v>
      </c>
      <c r="K283" s="91">
        <v>26816</v>
      </c>
      <c r="Q283">
        <v>4783125.8725554682</v>
      </c>
    </row>
    <row r="284" spans="1:17">
      <c r="A284" s="91">
        <v>26846</v>
      </c>
      <c r="B284">
        <v>104.099998</v>
      </c>
      <c r="C284">
        <v>111.040001</v>
      </c>
      <c r="D284">
        <v>100.44000200000001</v>
      </c>
      <c r="E284">
        <v>108.220001</v>
      </c>
      <c r="F284">
        <v>108.220001</v>
      </c>
      <c r="G284">
        <v>307780000</v>
      </c>
      <c r="H284" s="93">
        <f t="shared" si="17"/>
        <v>0.99190091448978324</v>
      </c>
      <c r="I284">
        <f t="shared" si="19"/>
        <v>0.97162590042585306</v>
      </c>
      <c r="J284">
        <f t="shared" si="18"/>
        <v>2.5696274318904717E-2</v>
      </c>
      <c r="K284" s="91">
        <v>26846</v>
      </c>
      <c r="Q284">
        <v>1899611.6224200435</v>
      </c>
    </row>
    <row r="285" spans="1:17">
      <c r="A285" s="91">
        <v>26877</v>
      </c>
      <c r="B285">
        <v>108.16999800000001</v>
      </c>
      <c r="C285">
        <v>108.16999800000001</v>
      </c>
      <c r="D285">
        <v>99.739998</v>
      </c>
      <c r="E285">
        <v>104.25</v>
      </c>
      <c r="F285">
        <v>104.25</v>
      </c>
      <c r="G285">
        <v>274460000</v>
      </c>
      <c r="H285" s="93">
        <f t="shared" si="17"/>
        <v>1.0390970228452838</v>
      </c>
      <c r="I285">
        <f t="shared" si="19"/>
        <v>1.0072632368680812</v>
      </c>
      <c r="J285">
        <f t="shared" si="18"/>
        <v>2.8328811007152017E-2</v>
      </c>
      <c r="K285" s="91">
        <v>26877</v>
      </c>
      <c r="Q285">
        <v>2071977.7594493891</v>
      </c>
    </row>
    <row r="286" spans="1:17">
      <c r="A286" s="91">
        <v>26908</v>
      </c>
      <c r="B286">
        <v>104.25</v>
      </c>
      <c r="C286">
        <v>110.449997</v>
      </c>
      <c r="D286">
        <v>102.129997</v>
      </c>
      <c r="E286">
        <v>108.43</v>
      </c>
      <c r="F286">
        <v>108.43</v>
      </c>
      <c r="G286">
        <v>329070000</v>
      </c>
      <c r="H286" s="93">
        <f t="shared" si="17"/>
        <v>0.96376076479173078</v>
      </c>
      <c r="I286">
        <f t="shared" si="19"/>
        <v>0.93842833516710178</v>
      </c>
      <c r="J286">
        <f t="shared" si="18"/>
        <v>2.8082047220616118E-2</v>
      </c>
      <c r="K286" s="91">
        <v>26908</v>
      </c>
      <c r="Q286">
        <v>1207851.9913879973</v>
      </c>
    </row>
    <row r="287" spans="1:17">
      <c r="A287" s="91">
        <v>26938</v>
      </c>
      <c r="B287">
        <v>108.43</v>
      </c>
      <c r="C287">
        <v>112.82</v>
      </c>
      <c r="D287">
        <v>107.08000199999999</v>
      </c>
      <c r="E287">
        <v>108.290001</v>
      </c>
      <c r="F287">
        <v>108.290001</v>
      </c>
      <c r="G287">
        <v>422900000</v>
      </c>
      <c r="H287" s="93">
        <f t="shared" si="17"/>
        <v>1.0400959232613909</v>
      </c>
      <c r="I287">
        <f t="shared" si="19"/>
        <v>0.98082313032592139</v>
      </c>
      <c r="J287">
        <f t="shared" si="18"/>
        <v>3.0943836702971017E-2</v>
      </c>
      <c r="K287" s="91">
        <v>26938</v>
      </c>
      <c r="Q287">
        <v>6751490.9100126429</v>
      </c>
    </row>
    <row r="288" spans="1:17">
      <c r="A288" s="91">
        <v>26969</v>
      </c>
      <c r="B288">
        <v>108.290001</v>
      </c>
      <c r="C288">
        <v>109.199997</v>
      </c>
      <c r="D288">
        <v>94.879997000000003</v>
      </c>
      <c r="E288">
        <v>95.959998999999996</v>
      </c>
      <c r="F288">
        <v>95.959998999999996</v>
      </c>
      <c r="G288">
        <v>399900000</v>
      </c>
      <c r="H288" s="93">
        <f t="shared" si="17"/>
        <v>0.99870885363829198</v>
      </c>
      <c r="I288">
        <f t="shared" si="19"/>
        <v>0.97051442067548999</v>
      </c>
      <c r="J288">
        <f t="shared" si="18"/>
        <v>3.0767880581664877E-2</v>
      </c>
      <c r="K288" s="91">
        <v>26969</v>
      </c>
      <c r="Q288">
        <v>3889649.302728585</v>
      </c>
    </row>
    <row r="289" spans="1:17">
      <c r="A289" s="91">
        <v>26999</v>
      </c>
      <c r="B289">
        <v>95.830001999999993</v>
      </c>
      <c r="C289">
        <v>99.089995999999999</v>
      </c>
      <c r="D289">
        <v>91.050003000000004</v>
      </c>
      <c r="E289">
        <v>97.550003000000004</v>
      </c>
      <c r="F289">
        <v>97.550003000000004</v>
      </c>
      <c r="G289">
        <v>384380000</v>
      </c>
      <c r="H289" s="93">
        <f t="shared" si="17"/>
        <v>0.88493860111793687</v>
      </c>
      <c r="I289">
        <f t="shared" si="19"/>
        <v>0.82137656332178888</v>
      </c>
      <c r="J289">
        <f t="shared" si="18"/>
        <v>4.1295336513370931E-2</v>
      </c>
      <c r="K289" s="91">
        <v>26999</v>
      </c>
      <c r="Q289">
        <v>3812371.4629549682</v>
      </c>
    </row>
    <row r="290" spans="1:17">
      <c r="A290" s="91">
        <v>27030</v>
      </c>
      <c r="B290">
        <v>97.550003000000004</v>
      </c>
      <c r="C290">
        <v>100.94000200000001</v>
      </c>
      <c r="D290">
        <v>91.620002999999997</v>
      </c>
      <c r="E290">
        <v>96.57</v>
      </c>
      <c r="F290">
        <v>96.57</v>
      </c>
      <c r="G290">
        <v>363150000</v>
      </c>
      <c r="H290" s="93">
        <f t="shared" si="17"/>
        <v>1.0179484604414388</v>
      </c>
      <c r="I290">
        <f t="shared" si="19"/>
        <v>0.82627481494621069</v>
      </c>
      <c r="J290">
        <f t="shared" si="18"/>
        <v>4.1693661171136209E-2</v>
      </c>
      <c r="K290" s="91">
        <v>27030</v>
      </c>
      <c r="Q290">
        <v>8659336.5899611507</v>
      </c>
    </row>
    <row r="291" spans="1:17">
      <c r="A291" s="91">
        <v>27061</v>
      </c>
      <c r="B291">
        <v>96.57</v>
      </c>
      <c r="C291">
        <v>97.43</v>
      </c>
      <c r="D291">
        <v>89.529999000000004</v>
      </c>
      <c r="E291">
        <v>96.220000999999996</v>
      </c>
      <c r="F291">
        <v>96.220000999999996</v>
      </c>
      <c r="G291">
        <v>256810000</v>
      </c>
      <c r="H291" s="93">
        <f t="shared" si="17"/>
        <v>0.98995383936584802</v>
      </c>
      <c r="I291">
        <f t="shared" si="19"/>
        <v>0.83228476111595928</v>
      </c>
      <c r="J291">
        <f t="shared" si="18"/>
        <v>4.1709675527937799E-2</v>
      </c>
      <c r="K291" s="91">
        <v>27061</v>
      </c>
      <c r="Q291">
        <v>20338148.658557665</v>
      </c>
    </row>
    <row r="292" spans="1:17">
      <c r="A292" s="91">
        <v>27089</v>
      </c>
      <c r="B292">
        <v>96.220000999999996</v>
      </c>
      <c r="C292">
        <v>101.050003</v>
      </c>
      <c r="D292">
        <v>93.440002000000007</v>
      </c>
      <c r="E292">
        <v>93.980002999999996</v>
      </c>
      <c r="F292">
        <v>93.980002999999996</v>
      </c>
      <c r="G292">
        <v>309600000</v>
      </c>
      <c r="H292" s="93">
        <f t="shared" si="17"/>
        <v>0.99637569638604129</v>
      </c>
      <c r="I292">
        <f t="shared" si="19"/>
        <v>0.86156877686246414</v>
      </c>
      <c r="J292">
        <f t="shared" si="18"/>
        <v>4.1143509332174109E-2</v>
      </c>
      <c r="K292" s="91">
        <v>27089</v>
      </c>
      <c r="Q292">
        <v>1102768.7013193096</v>
      </c>
    </row>
    <row r="293" spans="1:17">
      <c r="A293" s="91">
        <v>27120</v>
      </c>
      <c r="B293">
        <v>93.980002999999996</v>
      </c>
      <c r="C293">
        <v>95.419998000000007</v>
      </c>
      <c r="D293">
        <v>88.620002999999997</v>
      </c>
      <c r="E293">
        <v>90.309997999999993</v>
      </c>
      <c r="F293">
        <v>90.309997999999993</v>
      </c>
      <c r="G293">
        <v>254270000</v>
      </c>
      <c r="H293" s="93">
        <f t="shared" si="17"/>
        <v>0.97672003765620419</v>
      </c>
      <c r="I293">
        <f t="shared" si="19"/>
        <v>0.84271884440599465</v>
      </c>
      <c r="J293">
        <f t="shared" si="18"/>
        <v>4.1139550826109372E-2</v>
      </c>
      <c r="K293" s="91">
        <v>27120</v>
      </c>
      <c r="Q293">
        <v>6874403.2556189252</v>
      </c>
    </row>
    <row r="294" spans="1:17">
      <c r="A294" s="91">
        <v>27150</v>
      </c>
      <c r="B294">
        <v>90.309997999999993</v>
      </c>
      <c r="C294">
        <v>93.589995999999999</v>
      </c>
      <c r="D294">
        <v>85.870002999999997</v>
      </c>
      <c r="E294">
        <v>87.279999000000004</v>
      </c>
      <c r="F294">
        <v>87.279999000000004</v>
      </c>
      <c r="G294">
        <v>275150000</v>
      </c>
      <c r="H294" s="93">
        <f t="shared" si="17"/>
        <v>0.96094908615825425</v>
      </c>
      <c r="I294">
        <f t="shared" si="19"/>
        <v>0.84425537212063784</v>
      </c>
      <c r="J294">
        <f t="shared" si="18"/>
        <v>4.103642908792042E-2</v>
      </c>
      <c r="K294" s="91">
        <v>27150</v>
      </c>
      <c r="Q294">
        <v>6279888.5219351426</v>
      </c>
    </row>
    <row r="295" spans="1:17">
      <c r="A295" s="91">
        <v>27181</v>
      </c>
      <c r="B295">
        <v>87.279999000000004</v>
      </c>
      <c r="C295">
        <v>93.760002</v>
      </c>
      <c r="D295">
        <v>85.129997000000003</v>
      </c>
      <c r="E295">
        <v>86</v>
      </c>
      <c r="F295">
        <v>86</v>
      </c>
      <c r="G295">
        <v>245340000</v>
      </c>
      <c r="H295" s="93">
        <f t="shared" si="17"/>
        <v>0.96644890856934806</v>
      </c>
      <c r="I295">
        <f t="shared" si="19"/>
        <v>0.83163412572560635</v>
      </c>
      <c r="J295">
        <f t="shared" si="18"/>
        <v>4.1437491288639203E-2</v>
      </c>
      <c r="K295" s="91">
        <v>27181</v>
      </c>
      <c r="Q295">
        <v>22139274.1370444</v>
      </c>
    </row>
    <row r="296" spans="1:17">
      <c r="A296" s="91">
        <v>27211</v>
      </c>
      <c r="B296">
        <v>86</v>
      </c>
      <c r="C296">
        <v>86.889999000000003</v>
      </c>
      <c r="D296">
        <v>78.959998999999996</v>
      </c>
      <c r="E296">
        <v>79.309997999999993</v>
      </c>
      <c r="F296">
        <v>79.309997999999993</v>
      </c>
      <c r="G296">
        <v>274090000</v>
      </c>
      <c r="H296" s="93">
        <f t="shared" si="17"/>
        <v>0.9853345667430633</v>
      </c>
      <c r="I296">
        <f t="shared" si="19"/>
        <v>0.82612873825415445</v>
      </c>
      <c r="J296">
        <f t="shared" si="18"/>
        <v>4.13896868957195E-2</v>
      </c>
      <c r="K296" s="91">
        <v>27211</v>
      </c>
      <c r="Q296">
        <v>1186668.7831601733</v>
      </c>
    </row>
    <row r="297" spans="1:17">
      <c r="A297" s="91">
        <v>27242</v>
      </c>
      <c r="B297">
        <v>79.309997999999993</v>
      </c>
      <c r="C297">
        <v>83.529999000000004</v>
      </c>
      <c r="D297">
        <v>69.370002999999997</v>
      </c>
      <c r="E297">
        <v>72.150002000000001</v>
      </c>
      <c r="F297">
        <v>72.150002000000001</v>
      </c>
      <c r="G297">
        <v>280100000</v>
      </c>
      <c r="H297" s="93">
        <f t="shared" si="17"/>
        <v>0.92220927906976735</v>
      </c>
      <c r="I297">
        <f t="shared" si="19"/>
        <v>0.7331977393583754</v>
      </c>
      <c r="J297">
        <f t="shared" si="18"/>
        <v>4.12621947010531E-2</v>
      </c>
      <c r="K297" s="91">
        <v>27242</v>
      </c>
      <c r="Q297">
        <v>1591648.9543131471</v>
      </c>
    </row>
    <row r="298" spans="1:17">
      <c r="A298" s="91">
        <v>27273</v>
      </c>
      <c r="B298">
        <v>72.150002000000001</v>
      </c>
      <c r="C298">
        <v>73.010002</v>
      </c>
      <c r="D298">
        <v>62.52</v>
      </c>
      <c r="E298">
        <v>63.540000999999997</v>
      </c>
      <c r="F298">
        <v>63.540000999999997</v>
      </c>
      <c r="G298">
        <v>280050000</v>
      </c>
      <c r="H298" s="93">
        <f t="shared" si="17"/>
        <v>0.90972139477295166</v>
      </c>
      <c r="I298">
        <f t="shared" si="19"/>
        <v>0.69208635011990405</v>
      </c>
      <c r="J298">
        <f t="shared" si="18"/>
        <v>4.5378104465106907E-2</v>
      </c>
      <c r="K298" s="91">
        <v>27273</v>
      </c>
      <c r="Q298">
        <v>2855604.6470191912</v>
      </c>
    </row>
    <row r="299" spans="1:17">
      <c r="A299" s="91">
        <v>27303</v>
      </c>
      <c r="B299">
        <v>63.540000999999997</v>
      </c>
      <c r="C299">
        <v>75.900002000000001</v>
      </c>
      <c r="D299">
        <v>60.959999000000003</v>
      </c>
      <c r="E299">
        <v>73.900002000000001</v>
      </c>
      <c r="F299">
        <v>73.900002000000001</v>
      </c>
      <c r="G299">
        <v>377100000</v>
      </c>
      <c r="H299" s="93">
        <f t="shared" si="17"/>
        <v>0.88066527011322882</v>
      </c>
      <c r="I299">
        <f t="shared" si="19"/>
        <v>0.58600019367333755</v>
      </c>
      <c r="J299">
        <f t="shared" si="18"/>
        <v>4.6563614286410093E-2</v>
      </c>
      <c r="K299" s="91">
        <v>27303</v>
      </c>
      <c r="Q299">
        <v>4610296.6212815717</v>
      </c>
    </row>
    <row r="300" spans="1:17">
      <c r="A300" s="91">
        <v>27334</v>
      </c>
      <c r="B300">
        <v>73.900002000000001</v>
      </c>
      <c r="C300">
        <v>77.410004000000001</v>
      </c>
      <c r="D300">
        <v>66.849997999999999</v>
      </c>
      <c r="E300">
        <v>69.970000999999996</v>
      </c>
      <c r="F300">
        <v>69.970000999999996</v>
      </c>
      <c r="G300">
        <v>286790000</v>
      </c>
      <c r="H300" s="93">
        <f t="shared" si="17"/>
        <v>1.1630469127628753</v>
      </c>
      <c r="I300">
        <f t="shared" si="19"/>
        <v>0.68242682904767904</v>
      </c>
      <c r="J300">
        <f t="shared" si="18"/>
        <v>7.5167307214712598E-2</v>
      </c>
      <c r="K300" s="91">
        <v>27334</v>
      </c>
      <c r="Q300">
        <v>1692529.87005371</v>
      </c>
    </row>
    <row r="301" spans="1:17">
      <c r="A301" s="91">
        <v>27364</v>
      </c>
      <c r="B301">
        <v>69.800003000000004</v>
      </c>
      <c r="C301">
        <v>69.800003000000004</v>
      </c>
      <c r="D301">
        <v>64.129997000000003</v>
      </c>
      <c r="E301">
        <v>68.559997999999993</v>
      </c>
      <c r="F301">
        <v>68.559997999999993</v>
      </c>
      <c r="G301">
        <v>315150000</v>
      </c>
      <c r="H301" s="93">
        <f t="shared" si="17"/>
        <v>0.94451963614290568</v>
      </c>
      <c r="I301">
        <f t="shared" si="19"/>
        <v>0.72837317690966974</v>
      </c>
      <c r="J301">
        <f t="shared" si="18"/>
        <v>7.079241487418933E-2</v>
      </c>
      <c r="K301" s="91">
        <v>27364</v>
      </c>
      <c r="Q301">
        <v>2534117.7862357479</v>
      </c>
    </row>
    <row r="302" spans="1:17">
      <c r="A302" s="91">
        <v>27395</v>
      </c>
      <c r="B302">
        <v>68.650002000000001</v>
      </c>
      <c r="C302">
        <v>78.690002000000007</v>
      </c>
      <c r="D302">
        <v>68.650002000000001</v>
      </c>
      <c r="E302">
        <v>76.980002999999996</v>
      </c>
      <c r="F302">
        <v>76.980002999999996</v>
      </c>
      <c r="G302">
        <v>432550000</v>
      </c>
      <c r="H302" s="93">
        <f t="shared" si="17"/>
        <v>0.98352434168233482</v>
      </c>
      <c r="I302">
        <f t="shared" si="19"/>
        <v>0.70374166979779584</v>
      </c>
      <c r="J302">
        <f t="shared" si="18"/>
        <v>6.9632984659154559E-2</v>
      </c>
      <c r="K302" s="91">
        <v>27395</v>
      </c>
      <c r="Q302">
        <v>4207938.3939669235</v>
      </c>
    </row>
    <row r="303" spans="1:17">
      <c r="A303" s="91">
        <v>27426</v>
      </c>
      <c r="B303">
        <v>76.980002999999996</v>
      </c>
      <c r="C303">
        <v>83.559997999999993</v>
      </c>
      <c r="D303">
        <v>76</v>
      </c>
      <c r="E303">
        <v>81.589995999999999</v>
      </c>
      <c r="F303">
        <v>81.589995999999999</v>
      </c>
      <c r="G303">
        <v>423640000</v>
      </c>
      <c r="H303" s="93">
        <f t="shared" si="17"/>
        <v>1.1213401421313869</v>
      </c>
      <c r="I303">
        <f t="shared" si="19"/>
        <v>0.79714200062131102</v>
      </c>
      <c r="J303">
        <f t="shared" si="18"/>
        <v>8.1764156749727798E-2</v>
      </c>
      <c r="K303" s="91">
        <v>27426</v>
      </c>
      <c r="Q303">
        <v>2556810.1271505798</v>
      </c>
    </row>
    <row r="304" spans="1:17">
      <c r="A304" s="91">
        <v>27454</v>
      </c>
      <c r="B304">
        <v>81.589995999999999</v>
      </c>
      <c r="C304">
        <v>87.080001999999993</v>
      </c>
      <c r="D304">
        <v>80.080001999999993</v>
      </c>
      <c r="E304">
        <v>83.360000999999997</v>
      </c>
      <c r="F304">
        <v>83.360000999999997</v>
      </c>
      <c r="G304">
        <v>453610000</v>
      </c>
      <c r="H304" s="93">
        <f t="shared" si="17"/>
        <v>1.0598855913268801</v>
      </c>
      <c r="I304">
        <f t="shared" si="19"/>
        <v>0.84795255822123716</v>
      </c>
      <c r="J304">
        <f t="shared" si="18"/>
        <v>8.4626595411230618E-2</v>
      </c>
      <c r="K304" s="91">
        <v>27454</v>
      </c>
      <c r="Q304">
        <v>24524788.050984271</v>
      </c>
    </row>
    <row r="305" spans="1:17">
      <c r="A305" s="91">
        <v>27485</v>
      </c>
      <c r="B305">
        <v>83.360000999999997</v>
      </c>
      <c r="C305">
        <v>88.790001000000004</v>
      </c>
      <c r="D305">
        <v>79.660004000000001</v>
      </c>
      <c r="E305">
        <v>87.300003000000004</v>
      </c>
      <c r="F305">
        <v>87.300003000000004</v>
      </c>
      <c r="G305">
        <v>451350000</v>
      </c>
      <c r="H305" s="93">
        <f t="shared" si="17"/>
        <v>1.021693897374379</v>
      </c>
      <c r="I305">
        <f t="shared" si="19"/>
        <v>0.88699721578004209</v>
      </c>
      <c r="J305">
        <f t="shared" si="18"/>
        <v>8.5002724867089333E-2</v>
      </c>
      <c r="K305" s="91">
        <v>27485</v>
      </c>
      <c r="Q305">
        <v>4719172.1471366296</v>
      </c>
    </row>
    <row r="306" spans="1:17">
      <c r="A306" s="91">
        <v>27515</v>
      </c>
      <c r="B306">
        <v>87.300003000000004</v>
      </c>
      <c r="C306">
        <v>93.510002</v>
      </c>
      <c r="D306">
        <v>86.940002000000007</v>
      </c>
      <c r="E306">
        <v>91.150002000000001</v>
      </c>
      <c r="F306">
        <v>91.150002000000001</v>
      </c>
      <c r="G306">
        <v>457490000</v>
      </c>
      <c r="H306" s="93">
        <f t="shared" si="17"/>
        <v>1.0472648986652484</v>
      </c>
      <c r="I306">
        <f t="shared" si="19"/>
        <v>0.96667041228369877</v>
      </c>
      <c r="J306">
        <f t="shared" si="18"/>
        <v>8.5667756905583398E-2</v>
      </c>
      <c r="K306" s="91">
        <v>27515</v>
      </c>
      <c r="Q306">
        <v>1823357.9888373693</v>
      </c>
    </row>
    <row r="307" spans="1:17">
      <c r="A307" s="91">
        <v>27546</v>
      </c>
      <c r="B307">
        <v>91.32</v>
      </c>
      <c r="C307">
        <v>95.849997999999999</v>
      </c>
      <c r="D307">
        <v>89.300003000000004</v>
      </c>
      <c r="E307">
        <v>95.190002000000007</v>
      </c>
      <c r="F307">
        <v>95.190002000000007</v>
      </c>
      <c r="G307">
        <v>447000000</v>
      </c>
      <c r="H307" s="93">
        <f t="shared" si="17"/>
        <v>1.0460480740189664</v>
      </c>
      <c r="I307">
        <f t="shared" si="19"/>
        <v>1.0462878213369364</v>
      </c>
      <c r="J307">
        <f t="shared" si="18"/>
        <v>8.5875352240287237E-2</v>
      </c>
      <c r="K307" s="91">
        <v>27546</v>
      </c>
      <c r="Q307">
        <v>1464587.3170789625</v>
      </c>
    </row>
    <row r="308" spans="1:17">
      <c r="A308" s="91">
        <v>27576</v>
      </c>
      <c r="B308">
        <v>95.190002000000007</v>
      </c>
      <c r="C308">
        <v>96.580001999999993</v>
      </c>
      <c r="D308">
        <v>87.68</v>
      </c>
      <c r="E308">
        <v>88.75</v>
      </c>
      <c r="F308">
        <v>88.75</v>
      </c>
      <c r="G308">
        <v>441680000</v>
      </c>
      <c r="H308" s="93">
        <f t="shared" si="17"/>
        <v>1.0423784713096804</v>
      </c>
      <c r="I308">
        <f t="shared" si="19"/>
        <v>1.1068604883720932</v>
      </c>
      <c r="J308">
        <f t="shared" si="18"/>
        <v>8.6139154387527894E-2</v>
      </c>
      <c r="K308" s="91">
        <v>27576</v>
      </c>
      <c r="Q308">
        <v>4533449.3739227271</v>
      </c>
    </row>
    <row r="309" spans="1:17">
      <c r="A309" s="91">
        <v>27607</v>
      </c>
      <c r="B309">
        <v>88.75</v>
      </c>
      <c r="C309">
        <v>89.040001000000004</v>
      </c>
      <c r="D309">
        <v>82.209998999999996</v>
      </c>
      <c r="E309">
        <v>86.879997000000003</v>
      </c>
      <c r="F309">
        <v>86.879997000000003</v>
      </c>
      <c r="G309">
        <v>281470000</v>
      </c>
      <c r="H309" s="93">
        <f t="shared" si="17"/>
        <v>0.93234581505734182</v>
      </c>
      <c r="I309">
        <f t="shared" si="19"/>
        <v>1.1190266326825529</v>
      </c>
      <c r="J309">
        <f t="shared" si="18"/>
        <v>8.5224954637155778E-2</v>
      </c>
      <c r="K309" s="91">
        <v>27607</v>
      </c>
      <c r="Q309">
        <v>1553175.7054012872</v>
      </c>
    </row>
    <row r="310" spans="1:17">
      <c r="A310" s="91">
        <v>27638</v>
      </c>
      <c r="B310">
        <v>86.879997000000003</v>
      </c>
      <c r="C310">
        <v>87.419998000000007</v>
      </c>
      <c r="D310">
        <v>81.569999999999993</v>
      </c>
      <c r="E310">
        <v>83.870002999999997</v>
      </c>
      <c r="F310">
        <v>83.870002999999997</v>
      </c>
      <c r="G310">
        <v>275120000</v>
      </c>
      <c r="H310" s="93">
        <f t="shared" si="17"/>
        <v>0.97892954366197182</v>
      </c>
      <c r="I310">
        <f t="shared" si="19"/>
        <v>1.2041579291986715</v>
      </c>
      <c r="J310">
        <f t="shared" si="18"/>
        <v>7.979093578586724E-2</v>
      </c>
      <c r="K310" s="91">
        <v>27638</v>
      </c>
      <c r="Q310">
        <v>3795646.6205287967</v>
      </c>
    </row>
    <row r="311" spans="1:17">
      <c r="A311" s="91">
        <v>27668</v>
      </c>
      <c r="B311">
        <v>83.870002999999997</v>
      </c>
      <c r="C311">
        <v>91.75</v>
      </c>
      <c r="D311">
        <v>82.57</v>
      </c>
      <c r="E311">
        <v>89.040001000000004</v>
      </c>
      <c r="F311">
        <v>89.040001000000004</v>
      </c>
      <c r="G311">
        <v>365540000</v>
      </c>
      <c r="H311" s="93">
        <f t="shared" si="17"/>
        <v>0.96535457983498774</v>
      </c>
      <c r="I311">
        <f t="shared" si="19"/>
        <v>1.3199559597111117</v>
      </c>
      <c r="J311">
        <f t="shared" si="18"/>
        <v>6.9587032164637339E-2</v>
      </c>
      <c r="K311" s="91">
        <v>27668</v>
      </c>
      <c r="Q311">
        <v>2893476.2416386334</v>
      </c>
    </row>
    <row r="312" spans="1:17">
      <c r="A312" s="91">
        <v>27699</v>
      </c>
      <c r="B312">
        <v>89.040001000000004</v>
      </c>
      <c r="C312">
        <v>92.330001999999993</v>
      </c>
      <c r="D312">
        <v>87.629997000000003</v>
      </c>
      <c r="E312">
        <v>91.239998</v>
      </c>
      <c r="F312">
        <v>91.239998</v>
      </c>
      <c r="G312">
        <v>318810000</v>
      </c>
      <c r="H312" s="93">
        <f t="shared" si="17"/>
        <v>1.0616429929065343</v>
      </c>
      <c r="I312">
        <f t="shared" si="19"/>
        <v>1.204871428826213</v>
      </c>
      <c r="J312">
        <f t="shared" si="18"/>
        <v>5.6247651565528023E-2</v>
      </c>
      <c r="K312" s="91">
        <v>27699</v>
      </c>
      <c r="Q312">
        <v>11536255.617563171</v>
      </c>
    </row>
    <row r="313" spans="1:17">
      <c r="A313" s="91">
        <v>27729</v>
      </c>
      <c r="B313">
        <v>91.239998</v>
      </c>
      <c r="C313">
        <v>91.900002000000001</v>
      </c>
      <c r="D313">
        <v>86.150002000000001</v>
      </c>
      <c r="E313">
        <v>90.190002000000007</v>
      </c>
      <c r="F313">
        <v>90.190002000000007</v>
      </c>
      <c r="G313">
        <v>348970000</v>
      </c>
      <c r="H313" s="93">
        <f t="shared" si="17"/>
        <v>1.0247079624358943</v>
      </c>
      <c r="I313">
        <f t="shared" si="19"/>
        <v>1.3071632389471386</v>
      </c>
      <c r="J313">
        <f t="shared" si="18"/>
        <v>5.1398214824077117E-2</v>
      </c>
      <c r="K313" s="91">
        <v>27729</v>
      </c>
      <c r="Q313">
        <v>5080077.6598061947</v>
      </c>
    </row>
    <row r="314" spans="1:17">
      <c r="A314" s="91">
        <v>27760</v>
      </c>
      <c r="B314">
        <v>90.190002000000007</v>
      </c>
      <c r="C314">
        <v>101.989998</v>
      </c>
      <c r="D314">
        <v>89.809997999999993</v>
      </c>
      <c r="E314">
        <v>100.860001</v>
      </c>
      <c r="F314">
        <v>100.860001</v>
      </c>
      <c r="G314">
        <v>635830000</v>
      </c>
      <c r="H314" s="93">
        <f t="shared" si="17"/>
        <v>0.98849193311030115</v>
      </c>
      <c r="I314">
        <f t="shared" si="19"/>
        <v>1.3137654679165196</v>
      </c>
      <c r="J314">
        <f t="shared" si="18"/>
        <v>5.1063611257313887E-2</v>
      </c>
      <c r="K314" s="91">
        <v>27760</v>
      </c>
      <c r="Q314">
        <v>4070921.5153640639</v>
      </c>
    </row>
    <row r="315" spans="1:17">
      <c r="A315" s="91">
        <v>27791</v>
      </c>
      <c r="B315">
        <v>100.860001</v>
      </c>
      <c r="C315">
        <v>103.07</v>
      </c>
      <c r="D315">
        <v>98.5</v>
      </c>
      <c r="E315">
        <v>99.709998999999996</v>
      </c>
      <c r="F315">
        <v>99.709998999999996</v>
      </c>
      <c r="G315">
        <v>596130000</v>
      </c>
      <c r="H315" s="93">
        <f t="shared" si="17"/>
        <v>1.1183057851578713</v>
      </c>
      <c r="I315">
        <f t="shared" si="19"/>
        <v>1.3102104062012052</v>
      </c>
      <c r="J315">
        <f t="shared" si="18"/>
        <v>5.0543573273622057E-2</v>
      </c>
      <c r="K315" s="91">
        <v>27791</v>
      </c>
      <c r="Q315">
        <v>4910400.3443012442</v>
      </c>
    </row>
    <row r="316" spans="1:17">
      <c r="A316" s="91">
        <v>27820</v>
      </c>
      <c r="B316">
        <v>99.709998999999996</v>
      </c>
      <c r="C316">
        <v>104.389999</v>
      </c>
      <c r="D316">
        <v>98.230002999999996</v>
      </c>
      <c r="E316">
        <v>102.769997</v>
      </c>
      <c r="F316">
        <v>102.769997</v>
      </c>
      <c r="G316">
        <v>529600000</v>
      </c>
      <c r="H316" s="93">
        <f t="shared" si="17"/>
        <v>0.98859803699585524</v>
      </c>
      <c r="I316">
        <f t="shared" si="19"/>
        <v>1.222086087612996</v>
      </c>
      <c r="J316">
        <f t="shared" si="18"/>
        <v>5.0119782483064583E-2</v>
      </c>
      <c r="K316" s="91">
        <v>27820</v>
      </c>
      <c r="Q316">
        <v>8362005.768392425</v>
      </c>
    </row>
    <row r="317" spans="1:17">
      <c r="A317" s="91">
        <v>27851</v>
      </c>
      <c r="B317">
        <v>102.769997</v>
      </c>
      <c r="C317">
        <v>104.629997</v>
      </c>
      <c r="D317">
        <v>99.57</v>
      </c>
      <c r="E317">
        <v>101.639999</v>
      </c>
      <c r="F317">
        <v>101.639999</v>
      </c>
      <c r="G317">
        <v>392260000</v>
      </c>
      <c r="H317" s="93">
        <f t="shared" si="17"/>
        <v>1.0306889783440878</v>
      </c>
      <c r="I317">
        <f t="shared" si="19"/>
        <v>1.2328454386654819</v>
      </c>
      <c r="J317">
        <f t="shared" si="18"/>
        <v>5.0247476686403461E-2</v>
      </c>
      <c r="K317" s="91">
        <v>27851</v>
      </c>
      <c r="Q317">
        <v>5186823.8179084398</v>
      </c>
    </row>
    <row r="318" spans="1:17">
      <c r="A318" s="91">
        <v>27881</v>
      </c>
      <c r="B318">
        <v>101.639999</v>
      </c>
      <c r="C318">
        <v>103.989998</v>
      </c>
      <c r="D318">
        <v>98.260002</v>
      </c>
      <c r="E318">
        <v>100.18</v>
      </c>
      <c r="F318">
        <v>100.18</v>
      </c>
      <c r="G318">
        <v>355910000</v>
      </c>
      <c r="H318" s="93">
        <f t="shared" si="17"/>
        <v>0.98900459245902284</v>
      </c>
      <c r="I318">
        <f t="shared" si="19"/>
        <v>1.164261116921153</v>
      </c>
      <c r="J318">
        <f t="shared" si="18"/>
        <v>5.0053947032932283E-2</v>
      </c>
      <c r="K318" s="91">
        <v>27881</v>
      </c>
      <c r="Q318">
        <v>2420004.8658515792</v>
      </c>
    </row>
    <row r="319" spans="1:17">
      <c r="A319" s="91">
        <v>27912</v>
      </c>
      <c r="B319">
        <v>100.18</v>
      </c>
      <c r="C319">
        <v>105.07</v>
      </c>
      <c r="D319">
        <v>97.970000999999996</v>
      </c>
      <c r="E319">
        <v>104.279999</v>
      </c>
      <c r="F319">
        <v>104.279999</v>
      </c>
      <c r="G319">
        <v>417230000</v>
      </c>
      <c r="H319" s="93">
        <f t="shared" si="17"/>
        <v>0.98563558624198733</v>
      </c>
      <c r="I319">
        <f t="shared" si="19"/>
        <v>1.0970214629872976</v>
      </c>
      <c r="J319">
        <f t="shared" si="18"/>
        <v>4.9559477509193185E-2</v>
      </c>
      <c r="K319" s="91">
        <v>27912</v>
      </c>
      <c r="Q319">
        <v>1661867.9609118442</v>
      </c>
    </row>
    <row r="320" spans="1:17">
      <c r="A320" s="91">
        <v>27942</v>
      </c>
      <c r="B320">
        <v>104.279999</v>
      </c>
      <c r="C320">
        <v>106.779999</v>
      </c>
      <c r="D320">
        <v>102.30999799999999</v>
      </c>
      <c r="E320">
        <v>103.44000200000001</v>
      </c>
      <c r="F320">
        <v>103.44000200000001</v>
      </c>
      <c r="G320">
        <v>393760000</v>
      </c>
      <c r="H320" s="93">
        <f t="shared" si="17"/>
        <v>1.0409263226192853</v>
      </c>
      <c r="I320">
        <f t="shared" si="19"/>
        <v>1.0954931905558736</v>
      </c>
      <c r="J320">
        <f t="shared" si="18"/>
        <v>4.9471836128838285E-2</v>
      </c>
      <c r="K320" s="91">
        <v>27942</v>
      </c>
      <c r="Q320">
        <v>1245333.6224106061</v>
      </c>
    </row>
    <row r="321" spans="1:17">
      <c r="A321" s="91">
        <v>27973</v>
      </c>
      <c r="B321">
        <v>103.44000200000001</v>
      </c>
      <c r="C321">
        <v>105.410004</v>
      </c>
      <c r="D321">
        <v>100.43</v>
      </c>
      <c r="E321">
        <v>102.910004</v>
      </c>
      <c r="F321">
        <v>102.910004</v>
      </c>
      <c r="G321">
        <v>346680000</v>
      </c>
      <c r="H321" s="93">
        <f t="shared" si="17"/>
        <v>0.99194479278811654</v>
      </c>
      <c r="I321">
        <f t="shared" si="19"/>
        <v>1.1655211492957747</v>
      </c>
      <c r="J321">
        <f t="shared" si="18"/>
        <v>4.3770636408518804E-2</v>
      </c>
      <c r="K321" s="91">
        <v>27973</v>
      </c>
      <c r="Q321">
        <v>3501195.8528659847</v>
      </c>
    </row>
    <row r="322" spans="1:17">
      <c r="A322" s="91">
        <v>28004</v>
      </c>
      <c r="B322">
        <v>102.910004</v>
      </c>
      <c r="C322">
        <v>108.720001</v>
      </c>
      <c r="D322">
        <v>102.599998</v>
      </c>
      <c r="E322">
        <v>105.239998</v>
      </c>
      <c r="F322">
        <v>105.239998</v>
      </c>
      <c r="G322">
        <v>414750000</v>
      </c>
      <c r="H322" s="93">
        <f t="shared" si="17"/>
        <v>0.99487627620115471</v>
      </c>
      <c r="I322">
        <f t="shared" si="19"/>
        <v>1.1845074534245208</v>
      </c>
      <c r="J322">
        <f t="shared" si="18"/>
        <v>4.285192265894313E-2</v>
      </c>
      <c r="K322" s="91">
        <v>28004</v>
      </c>
      <c r="Q322">
        <v>360069.03051329736</v>
      </c>
    </row>
    <row r="323" spans="1:17">
      <c r="A323" s="91">
        <v>28034</v>
      </c>
      <c r="B323">
        <v>105.239998</v>
      </c>
      <c r="C323">
        <v>105.75</v>
      </c>
      <c r="D323">
        <v>99.209998999999996</v>
      </c>
      <c r="E323">
        <v>102.900002</v>
      </c>
      <c r="F323">
        <v>102.900002</v>
      </c>
      <c r="G323">
        <v>361390000</v>
      </c>
      <c r="H323" s="93">
        <f t="shared" si="17"/>
        <v>1.0226410835626827</v>
      </c>
      <c r="I323">
        <f t="shared" si="19"/>
        <v>1.2547990251055554</v>
      </c>
      <c r="J323">
        <f t="shared" si="18"/>
        <v>3.9906369800037117E-2</v>
      </c>
      <c r="K323" s="91">
        <v>28034</v>
      </c>
      <c r="Q323">
        <v>2005111.1257434681</v>
      </c>
    </row>
    <row r="324" spans="1:17">
      <c r="A324" s="91">
        <v>28065</v>
      </c>
      <c r="B324">
        <v>102.900002</v>
      </c>
      <c r="C324">
        <v>103.779999</v>
      </c>
      <c r="D324">
        <v>98.18</v>
      </c>
      <c r="E324">
        <v>102.099998</v>
      </c>
      <c r="F324">
        <v>102.099998</v>
      </c>
      <c r="G324">
        <v>381020000</v>
      </c>
      <c r="H324" s="93">
        <f t="shared" ref="H324:H387" si="20">B324/B323</f>
        <v>0.97776514590963792</v>
      </c>
      <c r="I324">
        <f t="shared" si="19"/>
        <v>1.1556603868411905</v>
      </c>
      <c r="J324">
        <f t="shared" si="18"/>
        <v>3.9249327984693341E-2</v>
      </c>
      <c r="K324" s="91">
        <v>28065</v>
      </c>
      <c r="Q324">
        <v>4804735.0866275504</v>
      </c>
    </row>
    <row r="325" spans="1:17">
      <c r="A325" s="91">
        <v>28095</v>
      </c>
      <c r="B325">
        <v>102.099998</v>
      </c>
      <c r="C325">
        <v>107.82</v>
      </c>
      <c r="D325">
        <v>101.620003</v>
      </c>
      <c r="E325">
        <v>107.459999</v>
      </c>
      <c r="F325">
        <v>107.459999</v>
      </c>
      <c r="G325">
        <v>534550000</v>
      </c>
      <c r="H325" s="93">
        <f t="shared" si="20"/>
        <v>0.99222542289163418</v>
      </c>
      <c r="I325">
        <f t="shared" si="19"/>
        <v>1.1190267452658209</v>
      </c>
      <c r="J325">
        <f t="shared" si="18"/>
        <v>3.9472800167827705E-2</v>
      </c>
      <c r="K325" s="91">
        <v>28095</v>
      </c>
      <c r="Q325">
        <v>9226031.1703442391</v>
      </c>
    </row>
    <row r="326" spans="1:17">
      <c r="A326" s="91">
        <v>28126</v>
      </c>
      <c r="B326">
        <v>107.459999</v>
      </c>
      <c r="C326">
        <v>107.970001</v>
      </c>
      <c r="D326">
        <v>100.910004</v>
      </c>
      <c r="E326">
        <v>102.029999</v>
      </c>
      <c r="F326">
        <v>102.029999</v>
      </c>
      <c r="G326">
        <v>501620000</v>
      </c>
      <c r="H326" s="93">
        <f t="shared" si="20"/>
        <v>1.0524975622428514</v>
      </c>
      <c r="I326">
        <f t="shared" si="19"/>
        <v>1.1914846060209643</v>
      </c>
      <c r="J326">
        <f t="shared" si="18"/>
        <v>4.0597130876892006E-2</v>
      </c>
      <c r="K326" s="91">
        <v>28126</v>
      </c>
      <c r="Q326">
        <v>1219134.9809980523</v>
      </c>
    </row>
    <row r="327" spans="1:17">
      <c r="A327" s="91">
        <v>28157</v>
      </c>
      <c r="B327">
        <v>102.029999</v>
      </c>
      <c r="C327">
        <v>103.32</v>
      </c>
      <c r="D327">
        <v>98.82</v>
      </c>
      <c r="E327">
        <v>99.82</v>
      </c>
      <c r="F327">
        <v>99.82</v>
      </c>
      <c r="G327">
        <v>398440000</v>
      </c>
      <c r="H327" s="93">
        <f t="shared" si="20"/>
        <v>0.94946956960235973</v>
      </c>
      <c r="I327">
        <f t="shared" si="19"/>
        <v>1.0116002180091195</v>
      </c>
      <c r="J327">
        <f t="shared" si="18"/>
        <v>2.9418388891384543E-2</v>
      </c>
      <c r="K327" s="91">
        <v>28157</v>
      </c>
      <c r="Q327">
        <v>10062947.587958794</v>
      </c>
    </row>
    <row r="328" spans="1:17">
      <c r="A328" s="91">
        <v>28185</v>
      </c>
      <c r="B328">
        <v>99.82</v>
      </c>
      <c r="C328">
        <v>102.699997</v>
      </c>
      <c r="D328">
        <v>97.800003000000004</v>
      </c>
      <c r="E328">
        <v>98.419998000000007</v>
      </c>
      <c r="F328">
        <v>98.419998000000007</v>
      </c>
      <c r="G328">
        <v>434690000</v>
      </c>
      <c r="H328" s="93">
        <f t="shared" si="20"/>
        <v>0.97833971359737038</v>
      </c>
      <c r="I328">
        <f t="shared" si="19"/>
        <v>1.0011032093180545</v>
      </c>
      <c r="J328">
        <f t="shared" si="18"/>
        <v>2.9966760954574546E-2</v>
      </c>
      <c r="K328" s="91">
        <v>28185</v>
      </c>
      <c r="Q328">
        <v>2338803.4142109184</v>
      </c>
    </row>
    <row r="329" spans="1:17">
      <c r="A329" s="91">
        <v>28216</v>
      </c>
      <c r="B329">
        <v>98.419998000000007</v>
      </c>
      <c r="C329">
        <v>102.07</v>
      </c>
      <c r="D329">
        <v>96.529999000000004</v>
      </c>
      <c r="E329">
        <v>98.440002000000007</v>
      </c>
      <c r="F329">
        <v>98.440002000000007</v>
      </c>
      <c r="G329">
        <v>403060000</v>
      </c>
      <c r="H329" s="93">
        <f t="shared" si="20"/>
        <v>0.98597473452214002</v>
      </c>
      <c r="I329">
        <f t="shared" si="19"/>
        <v>0.95767248100629998</v>
      </c>
      <c r="J329">
        <f t="shared" si="18"/>
        <v>2.8621641216846603E-2</v>
      </c>
      <c r="K329" s="91">
        <v>28216</v>
      </c>
      <c r="Q329">
        <v>2853118.5740282978</v>
      </c>
    </row>
    <row r="330" spans="1:17">
      <c r="A330" s="91">
        <v>28246</v>
      </c>
      <c r="B330">
        <v>98.440002000000007</v>
      </c>
      <c r="C330">
        <v>100.93</v>
      </c>
      <c r="D330">
        <v>95.519997000000004</v>
      </c>
      <c r="E330">
        <v>96.120002999999997</v>
      </c>
      <c r="F330">
        <v>96.120002999999997</v>
      </c>
      <c r="G330">
        <v>425820000</v>
      </c>
      <c r="H330" s="93">
        <f t="shared" si="20"/>
        <v>1.0002032513758028</v>
      </c>
      <c r="I330">
        <f t="shared" si="19"/>
        <v>0.96851636135887809</v>
      </c>
      <c r="J330">
        <f t="shared" si="18"/>
        <v>2.8527663052076817E-2</v>
      </c>
      <c r="K330" s="91">
        <v>28246</v>
      </c>
      <c r="Q330">
        <v>1794708.3187189307</v>
      </c>
    </row>
    <row r="331" spans="1:17">
      <c r="A331" s="91">
        <v>28277</v>
      </c>
      <c r="B331">
        <v>96.120002999999997</v>
      </c>
      <c r="C331">
        <v>101.650002</v>
      </c>
      <c r="D331">
        <v>95.889999000000003</v>
      </c>
      <c r="E331">
        <v>100.480003</v>
      </c>
      <c r="F331">
        <v>100.480003</v>
      </c>
      <c r="G331">
        <v>485150000</v>
      </c>
      <c r="H331" s="93">
        <f t="shared" si="20"/>
        <v>0.97643235521267047</v>
      </c>
      <c r="I331">
        <f t="shared" si="19"/>
        <v>0.95947297863845071</v>
      </c>
      <c r="J331">
        <f t="shared" si="18"/>
        <v>2.9001504756644803E-2</v>
      </c>
      <c r="K331" s="91">
        <v>28277</v>
      </c>
      <c r="Q331">
        <v>3895891.5043721106</v>
      </c>
    </row>
    <row r="332" spans="1:17">
      <c r="A332" s="91">
        <v>28307</v>
      </c>
      <c r="B332">
        <v>100.480003</v>
      </c>
      <c r="C332">
        <v>102.57</v>
      </c>
      <c r="D332">
        <v>97.709998999999996</v>
      </c>
      <c r="E332">
        <v>98.849997999999999</v>
      </c>
      <c r="F332">
        <v>98.849997999999999</v>
      </c>
      <c r="G332">
        <v>452480000</v>
      </c>
      <c r="H332" s="93">
        <f t="shared" si="20"/>
        <v>1.045359965292552</v>
      </c>
      <c r="I332">
        <f t="shared" si="19"/>
        <v>0.96355968511277024</v>
      </c>
      <c r="J332">
        <f t="shared" si="18"/>
        <v>2.9634142515122679E-2</v>
      </c>
      <c r="K332" s="91">
        <v>28307</v>
      </c>
      <c r="Q332">
        <v>4408950.8824362243</v>
      </c>
    </row>
    <row r="333" spans="1:17">
      <c r="A333" s="91">
        <v>28338</v>
      </c>
      <c r="B333">
        <v>98.849997999999999</v>
      </c>
      <c r="C333">
        <v>99.839995999999999</v>
      </c>
      <c r="D333">
        <v>95.040001000000004</v>
      </c>
      <c r="E333">
        <v>96.769997000000004</v>
      </c>
      <c r="F333">
        <v>96.769997000000004</v>
      </c>
      <c r="G333">
        <v>433650000</v>
      </c>
      <c r="H333" s="93">
        <f t="shared" si="20"/>
        <v>0.98377781696523237</v>
      </c>
      <c r="I333">
        <f t="shared" si="19"/>
        <v>0.95562641230420697</v>
      </c>
      <c r="J333">
        <f t="shared" si="18"/>
        <v>2.9861492542902254E-2</v>
      </c>
      <c r="K333" s="91">
        <v>28338</v>
      </c>
      <c r="Q333">
        <v>1239964.1902230808</v>
      </c>
    </row>
    <row r="334" spans="1:17">
      <c r="A334" s="91">
        <v>28369</v>
      </c>
      <c r="B334">
        <v>96.769997000000004</v>
      </c>
      <c r="C334">
        <v>98.43</v>
      </c>
      <c r="D334">
        <v>94.440002000000007</v>
      </c>
      <c r="E334">
        <v>96.529999000000004</v>
      </c>
      <c r="F334">
        <v>96.529999000000004</v>
      </c>
      <c r="G334">
        <v>383670000</v>
      </c>
      <c r="H334" s="93">
        <f t="shared" si="20"/>
        <v>0.97895800665570076</v>
      </c>
      <c r="I334">
        <f t="shared" si="19"/>
        <v>0.9403361504096337</v>
      </c>
      <c r="J334">
        <f t="shared" si="18"/>
        <v>3.0296882006006942E-2</v>
      </c>
      <c r="K334" s="91">
        <v>28369</v>
      </c>
      <c r="Q334">
        <v>5258306.3072026763</v>
      </c>
    </row>
    <row r="335" spans="1:17">
      <c r="A335" s="91">
        <v>28399</v>
      </c>
      <c r="B335">
        <v>96.529999000000004</v>
      </c>
      <c r="C335">
        <v>97.269997000000004</v>
      </c>
      <c r="D335">
        <v>90.199996999999996</v>
      </c>
      <c r="E335">
        <v>92.339995999999999</v>
      </c>
      <c r="F335">
        <v>92.339995999999999</v>
      </c>
      <c r="G335">
        <v>413470000</v>
      </c>
      <c r="H335" s="93">
        <f t="shared" si="20"/>
        <v>0.99751991311935251</v>
      </c>
      <c r="I335">
        <f t="shared" si="19"/>
        <v>0.91723680002350438</v>
      </c>
      <c r="J335">
        <f t="shared" ref="J335:J398" si="21">_xlfn.STDEV.S(H324:H335)</f>
        <v>2.9079674615026418E-2</v>
      </c>
      <c r="K335" s="91">
        <v>28399</v>
      </c>
      <c r="Q335">
        <v>9863585.3507198133</v>
      </c>
    </row>
    <row r="336" spans="1:17">
      <c r="A336" s="91">
        <v>28430</v>
      </c>
      <c r="B336">
        <v>92.190002000000007</v>
      </c>
      <c r="C336">
        <v>97.110000999999997</v>
      </c>
      <c r="D336">
        <v>90.010002</v>
      </c>
      <c r="E336">
        <v>94.830001999999993</v>
      </c>
      <c r="F336">
        <v>94.830001999999993</v>
      </c>
      <c r="G336">
        <v>494680000</v>
      </c>
      <c r="H336" s="93">
        <f t="shared" si="20"/>
        <v>0.95503991458655257</v>
      </c>
      <c r="I336">
        <f t="shared" ref="I336:I399" si="22">B336/B324</f>
        <v>0.89591836936990543</v>
      </c>
      <c r="J336">
        <f t="shared" si="21"/>
        <v>3.0862290738004491E-2</v>
      </c>
      <c r="K336" s="91">
        <v>28430</v>
      </c>
      <c r="Q336">
        <v>4219554.6283585029</v>
      </c>
    </row>
    <row r="337" spans="1:17">
      <c r="A337" s="91">
        <v>28460</v>
      </c>
      <c r="B337">
        <v>94.830001999999993</v>
      </c>
      <c r="C337">
        <v>95.669998000000007</v>
      </c>
      <c r="D337">
        <v>91.760002</v>
      </c>
      <c r="E337">
        <v>95.099997999999999</v>
      </c>
      <c r="F337">
        <v>95.099997999999999</v>
      </c>
      <c r="G337">
        <v>450970000</v>
      </c>
      <c r="H337" s="93">
        <f t="shared" si="20"/>
        <v>1.0286365109309792</v>
      </c>
      <c r="I337">
        <f t="shared" si="22"/>
        <v>0.9287953365092132</v>
      </c>
      <c r="J337">
        <f t="shared" si="21"/>
        <v>3.2695240100805233E-2</v>
      </c>
      <c r="K337" s="91">
        <v>28460</v>
      </c>
      <c r="Q337">
        <v>7939897.5284414841</v>
      </c>
    </row>
    <row r="338" spans="1:17">
      <c r="A338" s="91">
        <v>28491</v>
      </c>
      <c r="B338">
        <v>95.099997999999999</v>
      </c>
      <c r="C338">
        <v>95.150002000000001</v>
      </c>
      <c r="D338">
        <v>88.019997000000004</v>
      </c>
      <c r="E338">
        <v>89.25</v>
      </c>
      <c r="F338">
        <v>89.25</v>
      </c>
      <c r="G338">
        <v>428140000</v>
      </c>
      <c r="H338" s="93">
        <f t="shared" si="20"/>
        <v>1.0028471580122924</v>
      </c>
      <c r="I338">
        <f t="shared" si="22"/>
        <v>0.88498044746864368</v>
      </c>
      <c r="J338">
        <f t="shared" si="21"/>
        <v>2.7376957019386874E-2</v>
      </c>
      <c r="K338" s="91">
        <v>28491</v>
      </c>
      <c r="Q338">
        <v>4331346.6186920982</v>
      </c>
    </row>
    <row r="339" spans="1:17">
      <c r="A339" s="91">
        <v>28522</v>
      </c>
      <c r="B339">
        <v>89.25</v>
      </c>
      <c r="C339">
        <v>91.32</v>
      </c>
      <c r="D339">
        <v>86.580001999999993</v>
      </c>
      <c r="E339">
        <v>87.040001000000004</v>
      </c>
      <c r="F339">
        <v>87.040001000000004</v>
      </c>
      <c r="G339">
        <v>368600000</v>
      </c>
      <c r="H339" s="93">
        <f t="shared" si="20"/>
        <v>0.93848582415322446</v>
      </c>
      <c r="I339">
        <f t="shared" si="22"/>
        <v>0.87474273130199676</v>
      </c>
      <c r="J339">
        <f t="shared" si="21"/>
        <v>2.8998590724556871E-2</v>
      </c>
      <c r="K339" s="91">
        <v>28522</v>
      </c>
      <c r="Q339">
        <v>3036403.215582794</v>
      </c>
    </row>
    <row r="340" spans="1:17">
      <c r="A340" s="91">
        <v>28550</v>
      </c>
      <c r="B340">
        <v>87.040001000000004</v>
      </c>
      <c r="C340">
        <v>91.349997999999999</v>
      </c>
      <c r="D340">
        <v>86.449996999999996</v>
      </c>
      <c r="E340">
        <v>89.209998999999996</v>
      </c>
      <c r="F340">
        <v>89.209998999999996</v>
      </c>
      <c r="G340">
        <v>497580000</v>
      </c>
      <c r="H340" s="93">
        <f t="shared" si="20"/>
        <v>0.97523810644257702</v>
      </c>
      <c r="I340">
        <f t="shared" si="22"/>
        <v>0.87196955519935893</v>
      </c>
      <c r="J340">
        <f t="shared" si="21"/>
        <v>2.9118715278584357E-2</v>
      </c>
      <c r="K340" s="91">
        <v>28550</v>
      </c>
      <c r="Q340">
        <v>3033709.6733266977</v>
      </c>
    </row>
    <row r="341" spans="1:17">
      <c r="A341" s="91">
        <v>28581</v>
      </c>
      <c r="B341">
        <v>89.199996999999996</v>
      </c>
      <c r="C341">
        <v>97.910004000000001</v>
      </c>
      <c r="D341">
        <v>88.07</v>
      </c>
      <c r="E341">
        <v>96.830001999999993</v>
      </c>
      <c r="F341">
        <v>96.830001999999993</v>
      </c>
      <c r="G341">
        <v>695600000</v>
      </c>
      <c r="H341" s="93">
        <f t="shared" si="20"/>
        <v>1.0248161302295939</v>
      </c>
      <c r="I341">
        <f t="shared" si="22"/>
        <v>0.90631984162405688</v>
      </c>
      <c r="J341">
        <f t="shared" si="21"/>
        <v>3.0854131232228372E-2</v>
      </c>
      <c r="K341" s="91">
        <v>28581</v>
      </c>
      <c r="Q341">
        <v>3488105.7277514879</v>
      </c>
    </row>
    <row r="342" spans="1:17">
      <c r="A342" s="91">
        <v>28611</v>
      </c>
      <c r="B342">
        <v>96.830001999999993</v>
      </c>
      <c r="C342">
        <v>100.32</v>
      </c>
      <c r="D342">
        <v>94.57</v>
      </c>
      <c r="E342">
        <v>97.239998</v>
      </c>
      <c r="F342">
        <v>97.239998</v>
      </c>
      <c r="G342">
        <v>775750000</v>
      </c>
      <c r="H342" s="93">
        <f t="shared" si="20"/>
        <v>1.0855381755225844</v>
      </c>
      <c r="I342">
        <f t="shared" si="22"/>
        <v>0.98364486014537045</v>
      </c>
      <c r="J342">
        <f t="shared" si="21"/>
        <v>4.1009826078948874E-2</v>
      </c>
      <c r="K342" s="91">
        <v>28611</v>
      </c>
      <c r="Q342">
        <v>16600221.290229972</v>
      </c>
    </row>
    <row r="343" spans="1:17">
      <c r="A343" s="91">
        <v>28642</v>
      </c>
      <c r="B343">
        <v>97.239998</v>
      </c>
      <c r="C343">
        <v>101.839996</v>
      </c>
      <c r="D343">
        <v>93.989998</v>
      </c>
      <c r="E343">
        <v>95.529999000000004</v>
      </c>
      <c r="F343">
        <v>95.529999000000004</v>
      </c>
      <c r="G343">
        <v>666290000</v>
      </c>
      <c r="H343" s="93">
        <f t="shared" si="20"/>
        <v>1.0042341835333228</v>
      </c>
      <c r="I343">
        <f t="shared" si="22"/>
        <v>1.0116520491577596</v>
      </c>
      <c r="J343">
        <f t="shared" si="21"/>
        <v>4.0375515328973689E-2</v>
      </c>
      <c r="K343" s="91">
        <v>28642</v>
      </c>
      <c r="Q343">
        <v>2186412.95627324</v>
      </c>
    </row>
    <row r="344" spans="1:17">
      <c r="A344" s="91">
        <v>28672</v>
      </c>
      <c r="B344">
        <v>95.529999000000004</v>
      </c>
      <c r="C344">
        <v>101.18</v>
      </c>
      <c r="D344">
        <v>93.589995999999999</v>
      </c>
      <c r="E344">
        <v>100.68</v>
      </c>
      <c r="F344">
        <v>100.68</v>
      </c>
      <c r="G344">
        <v>541490000</v>
      </c>
      <c r="H344" s="93">
        <f t="shared" si="20"/>
        <v>0.98241465410149431</v>
      </c>
      <c r="I344">
        <f t="shared" si="22"/>
        <v>0.95073642663008284</v>
      </c>
      <c r="J344">
        <f t="shared" si="21"/>
        <v>3.8219584502631979E-2</v>
      </c>
      <c r="K344" s="91">
        <v>28672</v>
      </c>
      <c r="Q344">
        <v>1946384.6094721607</v>
      </c>
    </row>
    <row r="345" spans="1:17">
      <c r="A345" s="91">
        <v>28703</v>
      </c>
      <c r="B345">
        <v>100.68</v>
      </c>
      <c r="C345">
        <v>106.269997</v>
      </c>
      <c r="D345">
        <v>99.949996999999996</v>
      </c>
      <c r="E345">
        <v>103.290001</v>
      </c>
      <c r="F345">
        <v>103.290001</v>
      </c>
      <c r="G345">
        <v>864950000</v>
      </c>
      <c r="H345" s="93">
        <f t="shared" si="20"/>
        <v>1.0539097775977158</v>
      </c>
      <c r="I345">
        <f t="shared" si="22"/>
        <v>1.018512918938046</v>
      </c>
      <c r="J345">
        <f t="shared" si="21"/>
        <v>4.1338983277251114E-2</v>
      </c>
      <c r="K345" s="91">
        <v>28703</v>
      </c>
      <c r="Q345">
        <v>1407186.9954148598</v>
      </c>
    </row>
    <row r="346" spans="1:17">
      <c r="A346" s="91">
        <v>28734</v>
      </c>
      <c r="B346">
        <v>103.290001</v>
      </c>
      <c r="C346">
        <v>108.050003</v>
      </c>
      <c r="D346">
        <v>100.660004</v>
      </c>
      <c r="E346">
        <v>102.540001</v>
      </c>
      <c r="F346">
        <v>102.540001</v>
      </c>
      <c r="G346">
        <v>672290000</v>
      </c>
      <c r="H346" s="93">
        <f t="shared" si="20"/>
        <v>1.0259237286452125</v>
      </c>
      <c r="I346">
        <f t="shared" si="22"/>
        <v>1.0673762963948423</v>
      </c>
      <c r="J346">
        <f t="shared" si="21"/>
        <v>4.1150658535032865E-2</v>
      </c>
      <c r="K346" s="91">
        <v>28734</v>
      </c>
      <c r="Q346">
        <v>1160322.8721489483</v>
      </c>
    </row>
    <row r="347" spans="1:17">
      <c r="A347" s="91">
        <v>28764</v>
      </c>
      <c r="B347">
        <v>102.540001</v>
      </c>
      <c r="C347">
        <v>106.230003</v>
      </c>
      <c r="D347">
        <v>91.650002000000001</v>
      </c>
      <c r="E347">
        <v>93.150002000000001</v>
      </c>
      <c r="F347">
        <v>93.150002000000001</v>
      </c>
      <c r="G347">
        <v>682340000</v>
      </c>
      <c r="H347" s="93">
        <f t="shared" si="20"/>
        <v>0.9927388905727671</v>
      </c>
      <c r="I347">
        <f t="shared" si="22"/>
        <v>1.0622604585337247</v>
      </c>
      <c r="J347">
        <f t="shared" si="21"/>
        <v>4.1265502875521123E-2</v>
      </c>
      <c r="K347" s="91">
        <v>28764</v>
      </c>
      <c r="Q347">
        <v>1698127.4267314817</v>
      </c>
    </row>
    <row r="348" spans="1:17">
      <c r="A348" s="91">
        <v>28795</v>
      </c>
      <c r="B348">
        <v>94.129997000000003</v>
      </c>
      <c r="C348">
        <v>97.410004000000001</v>
      </c>
      <c r="D348">
        <v>91.769997000000004</v>
      </c>
      <c r="E348">
        <v>94.699996999999996</v>
      </c>
      <c r="F348">
        <v>94.699996999999996</v>
      </c>
      <c r="G348">
        <v>514610000</v>
      </c>
      <c r="H348" s="93">
        <f t="shared" si="20"/>
        <v>0.91798318784880839</v>
      </c>
      <c r="I348">
        <f t="shared" si="22"/>
        <v>1.0210434424331609</v>
      </c>
      <c r="J348">
        <f t="shared" si="21"/>
        <v>4.6469353950803503E-2</v>
      </c>
      <c r="K348" s="91">
        <v>28795</v>
      </c>
      <c r="Q348">
        <v>3564886.9213950918</v>
      </c>
    </row>
    <row r="349" spans="1:17">
      <c r="A349" s="91">
        <v>28825</v>
      </c>
      <c r="B349">
        <v>95.010002</v>
      </c>
      <c r="C349">
        <v>98.580001999999993</v>
      </c>
      <c r="D349">
        <v>92.639999000000003</v>
      </c>
      <c r="E349">
        <v>96.110000999999997</v>
      </c>
      <c r="F349">
        <v>96.110000999999997</v>
      </c>
      <c r="G349">
        <v>492440000</v>
      </c>
      <c r="H349" s="93">
        <f t="shared" si="20"/>
        <v>1.0093488263895303</v>
      </c>
      <c r="I349">
        <f t="shared" si="22"/>
        <v>1.0018981334620241</v>
      </c>
      <c r="J349">
        <f t="shared" si="21"/>
        <v>4.5820886549821457E-2</v>
      </c>
      <c r="K349" s="91">
        <v>28825</v>
      </c>
      <c r="Q349">
        <v>906804.92717823037</v>
      </c>
    </row>
    <row r="350" spans="1:17">
      <c r="A350" s="91">
        <v>28856</v>
      </c>
      <c r="B350">
        <v>96.110000999999997</v>
      </c>
      <c r="C350">
        <v>102.589996</v>
      </c>
      <c r="D350">
        <v>95.220000999999996</v>
      </c>
      <c r="E350">
        <v>99.93</v>
      </c>
      <c r="F350">
        <v>99.93</v>
      </c>
      <c r="G350">
        <v>615730000</v>
      </c>
      <c r="H350" s="93">
        <f t="shared" si="20"/>
        <v>1.0115777178912173</v>
      </c>
      <c r="I350">
        <f t="shared" si="22"/>
        <v>1.0106204313484843</v>
      </c>
      <c r="J350">
        <f t="shared" si="21"/>
        <v>4.5919952839032066E-2</v>
      </c>
      <c r="K350" s="91">
        <v>28856</v>
      </c>
      <c r="Q350">
        <v>6072283.0796543751</v>
      </c>
    </row>
    <row r="351" spans="1:17">
      <c r="A351" s="91">
        <v>28887</v>
      </c>
      <c r="B351">
        <v>99.93</v>
      </c>
      <c r="C351">
        <v>100.519997</v>
      </c>
      <c r="D351">
        <v>95.379997000000003</v>
      </c>
      <c r="E351">
        <v>96.279999000000004</v>
      </c>
      <c r="F351">
        <v>96.279999000000004</v>
      </c>
      <c r="G351">
        <v>475710000</v>
      </c>
      <c r="H351" s="93">
        <f t="shared" si="20"/>
        <v>1.0397461134143575</v>
      </c>
      <c r="I351">
        <f t="shared" si="22"/>
        <v>1.1196638655462186</v>
      </c>
      <c r="J351">
        <f t="shared" si="21"/>
        <v>4.2385174892133566E-2</v>
      </c>
      <c r="K351" s="91">
        <v>28887</v>
      </c>
      <c r="Q351">
        <v>9247736.9878338575</v>
      </c>
    </row>
    <row r="352" spans="1:17">
      <c r="A352" s="91">
        <v>28915</v>
      </c>
      <c r="B352">
        <v>96.279999000000004</v>
      </c>
      <c r="C352">
        <v>103.30999799999999</v>
      </c>
      <c r="D352">
        <v>95.980002999999996</v>
      </c>
      <c r="E352">
        <v>101.589996</v>
      </c>
      <c r="F352">
        <v>101.589996</v>
      </c>
      <c r="G352">
        <v>649800000</v>
      </c>
      <c r="H352" s="93">
        <f t="shared" si="20"/>
        <v>0.96347442209546674</v>
      </c>
      <c r="I352">
        <f t="shared" si="22"/>
        <v>1.106158064037706</v>
      </c>
      <c r="J352">
        <f t="shared" si="21"/>
        <v>4.3393594023841402E-2</v>
      </c>
      <c r="K352" s="91">
        <v>28915</v>
      </c>
      <c r="Q352">
        <v>2339498.6530685364</v>
      </c>
    </row>
    <row r="353" spans="1:17">
      <c r="A353" s="91">
        <v>28946</v>
      </c>
      <c r="B353">
        <v>101.55999799999999</v>
      </c>
      <c r="C353">
        <v>103.949997</v>
      </c>
      <c r="D353">
        <v>100.139999</v>
      </c>
      <c r="E353">
        <v>101.760002</v>
      </c>
      <c r="F353">
        <v>101.760002</v>
      </c>
      <c r="G353">
        <v>620650000</v>
      </c>
      <c r="H353" s="93">
        <f t="shared" si="20"/>
        <v>1.0548400400378066</v>
      </c>
      <c r="I353">
        <f t="shared" si="22"/>
        <v>1.1385650382925461</v>
      </c>
      <c r="J353">
        <f t="shared" si="21"/>
        <v>4.5197083491160958E-2</v>
      </c>
      <c r="K353" s="91">
        <v>28946</v>
      </c>
      <c r="Q353">
        <v>2463173.5019400856</v>
      </c>
    </row>
    <row r="354" spans="1:17">
      <c r="A354" s="91">
        <v>28976</v>
      </c>
      <c r="B354">
        <v>101.760002</v>
      </c>
      <c r="C354">
        <v>102.57</v>
      </c>
      <c r="D354">
        <v>97.489998</v>
      </c>
      <c r="E354">
        <v>99.080001999999993</v>
      </c>
      <c r="F354">
        <v>99.080001999999993</v>
      </c>
      <c r="G354">
        <v>623740000</v>
      </c>
      <c r="H354" s="93">
        <f t="shared" si="20"/>
        <v>1.0019693186681631</v>
      </c>
      <c r="I354">
        <f t="shared" si="22"/>
        <v>1.0509139718906544</v>
      </c>
      <c r="J354">
        <f t="shared" si="21"/>
        <v>3.8788108443478859E-2</v>
      </c>
      <c r="K354" s="91">
        <v>28976</v>
      </c>
      <c r="Q354">
        <v>1290739.7479651961</v>
      </c>
    </row>
    <row r="355" spans="1:17">
      <c r="A355" s="91">
        <v>29007</v>
      </c>
      <c r="B355">
        <v>99.080001999999993</v>
      </c>
      <c r="C355">
        <v>103.66999800000001</v>
      </c>
      <c r="D355">
        <v>98.57</v>
      </c>
      <c r="E355">
        <v>102.910004</v>
      </c>
      <c r="F355">
        <v>102.910004</v>
      </c>
      <c r="G355">
        <v>735710000</v>
      </c>
      <c r="H355" s="93">
        <f t="shared" si="20"/>
        <v>0.97366352253019794</v>
      </c>
      <c r="I355">
        <f t="shared" si="22"/>
        <v>1.0189222957408945</v>
      </c>
      <c r="J355">
        <f t="shared" si="21"/>
        <v>3.9822136612811233E-2</v>
      </c>
      <c r="K355" s="91">
        <v>29007</v>
      </c>
      <c r="Q355">
        <v>4613042.8181327218</v>
      </c>
    </row>
    <row r="356" spans="1:17">
      <c r="A356" s="91">
        <v>29037</v>
      </c>
      <c r="B356">
        <v>102.910004</v>
      </c>
      <c r="C356">
        <v>105.16999800000001</v>
      </c>
      <c r="D356">
        <v>100.349998</v>
      </c>
      <c r="E356">
        <v>103.80999799999999</v>
      </c>
      <c r="F356">
        <v>103.80999799999999</v>
      </c>
      <c r="G356">
        <v>680740000</v>
      </c>
      <c r="H356" s="93">
        <f t="shared" si="20"/>
        <v>1.0386556512180936</v>
      </c>
      <c r="I356">
        <f t="shared" si="22"/>
        <v>1.07725327203238</v>
      </c>
      <c r="J356">
        <f t="shared" si="21"/>
        <v>4.0571641445055366E-2</v>
      </c>
      <c r="K356" s="91">
        <v>29037</v>
      </c>
      <c r="Q356">
        <v>2433115.315955257</v>
      </c>
    </row>
    <row r="357" spans="1:17">
      <c r="A357" s="91">
        <v>29068</v>
      </c>
      <c r="B357">
        <v>103.80999799999999</v>
      </c>
      <c r="C357">
        <v>109.839996</v>
      </c>
      <c r="D357">
        <v>103.139999</v>
      </c>
      <c r="E357">
        <v>109.32</v>
      </c>
      <c r="F357">
        <v>109.32</v>
      </c>
      <c r="G357">
        <v>825050000</v>
      </c>
      <c r="H357" s="93">
        <f t="shared" si="20"/>
        <v>1.0087454471384532</v>
      </c>
      <c r="I357">
        <f t="shared" si="22"/>
        <v>1.0310885776718315</v>
      </c>
      <c r="J357">
        <f t="shared" si="21"/>
        <v>3.7824839074591027E-2</v>
      </c>
      <c r="K357" s="91">
        <v>29068</v>
      </c>
      <c r="Q357">
        <v>2699143.0827469127</v>
      </c>
    </row>
    <row r="358" spans="1:17">
      <c r="A358" s="91">
        <v>29099</v>
      </c>
      <c r="B358">
        <v>109.32</v>
      </c>
      <c r="C358">
        <v>111.58000199999999</v>
      </c>
      <c r="D358">
        <v>105.379997</v>
      </c>
      <c r="E358">
        <v>109.32</v>
      </c>
      <c r="F358">
        <v>109.32</v>
      </c>
      <c r="G358">
        <v>713940000</v>
      </c>
      <c r="H358" s="93">
        <f t="shared" si="20"/>
        <v>1.053077758464074</v>
      </c>
      <c r="I358">
        <f t="shared" si="22"/>
        <v>1.0583793101134735</v>
      </c>
      <c r="J358">
        <f t="shared" si="21"/>
        <v>4.0053002436382608E-2</v>
      </c>
      <c r="K358" s="91">
        <v>29099</v>
      </c>
      <c r="Q358">
        <v>9605777.6323971152</v>
      </c>
    </row>
    <row r="359" spans="1:17">
      <c r="A359" s="91">
        <v>29129</v>
      </c>
      <c r="B359">
        <v>109.19000200000001</v>
      </c>
      <c r="C359">
        <v>112.160004</v>
      </c>
      <c r="D359">
        <v>99.059997999999993</v>
      </c>
      <c r="E359">
        <v>101.82</v>
      </c>
      <c r="F359">
        <v>101.82</v>
      </c>
      <c r="G359">
        <v>857930000</v>
      </c>
      <c r="H359" s="93">
        <f t="shared" si="20"/>
        <v>0.99881084888401039</v>
      </c>
      <c r="I359">
        <f t="shared" si="22"/>
        <v>1.0648527495138214</v>
      </c>
      <c r="J359">
        <f t="shared" si="21"/>
        <v>3.9915456947513223E-2</v>
      </c>
      <c r="K359" s="91">
        <v>29129</v>
      </c>
      <c r="Q359">
        <v>1878209.6158368064</v>
      </c>
    </row>
    <row r="360" spans="1:17">
      <c r="A360" s="91">
        <v>29160</v>
      </c>
      <c r="B360">
        <v>101.82</v>
      </c>
      <c r="C360">
        <v>107.889999</v>
      </c>
      <c r="D360">
        <v>99.419998000000007</v>
      </c>
      <c r="E360">
        <v>106.160004</v>
      </c>
      <c r="F360">
        <v>106.160004</v>
      </c>
      <c r="G360">
        <v>653650000</v>
      </c>
      <c r="H360" s="93">
        <f t="shared" si="20"/>
        <v>0.93250295938267302</v>
      </c>
      <c r="I360">
        <f t="shared" si="22"/>
        <v>1.0816955619365418</v>
      </c>
      <c r="J360">
        <f t="shared" si="21"/>
        <v>3.7127822372769639E-2</v>
      </c>
      <c r="K360" s="91">
        <v>29160</v>
      </c>
      <c r="Q360">
        <v>1759213.5720252343</v>
      </c>
    </row>
    <row r="361" spans="1:17">
      <c r="A361" s="91">
        <v>29190</v>
      </c>
      <c r="B361">
        <v>106.160004</v>
      </c>
      <c r="C361">
        <v>110.33000199999999</v>
      </c>
      <c r="D361">
        <v>105.07</v>
      </c>
      <c r="E361">
        <v>107.94000200000001</v>
      </c>
      <c r="F361">
        <v>107.94000200000001</v>
      </c>
      <c r="G361">
        <v>710210000</v>
      </c>
      <c r="H361" s="93">
        <f t="shared" si="20"/>
        <v>1.0426242781378905</v>
      </c>
      <c r="I361">
        <f t="shared" si="22"/>
        <v>1.1173560863623599</v>
      </c>
      <c r="J361">
        <f t="shared" si="21"/>
        <v>3.8519355030503029E-2</v>
      </c>
      <c r="K361" s="91">
        <v>29190</v>
      </c>
      <c r="Q361">
        <v>1907394.7723724425</v>
      </c>
    </row>
    <row r="362" spans="1:17">
      <c r="A362" s="91">
        <v>29221</v>
      </c>
      <c r="B362">
        <v>107.94000200000001</v>
      </c>
      <c r="C362">
        <v>117.16999800000001</v>
      </c>
      <c r="D362">
        <v>103.260002</v>
      </c>
      <c r="E362">
        <v>114.160004</v>
      </c>
      <c r="F362">
        <v>114.160004</v>
      </c>
      <c r="G362">
        <v>1158240000</v>
      </c>
      <c r="H362" s="93">
        <f t="shared" si="20"/>
        <v>1.0167671244624295</v>
      </c>
      <c r="I362">
        <f t="shared" si="22"/>
        <v>1.1230881373104971</v>
      </c>
      <c r="J362">
        <f t="shared" si="21"/>
        <v>3.8568095895979357E-2</v>
      </c>
      <c r="K362" s="91">
        <v>29221</v>
      </c>
      <c r="Q362">
        <v>2684928.6865842473</v>
      </c>
    </row>
    <row r="363" spans="1:17">
      <c r="A363" s="91">
        <v>29252</v>
      </c>
      <c r="B363">
        <v>114.160004</v>
      </c>
      <c r="C363">
        <v>120.220001</v>
      </c>
      <c r="D363">
        <v>111.33000199999999</v>
      </c>
      <c r="E363">
        <v>113.660004</v>
      </c>
      <c r="F363">
        <v>113.660004</v>
      </c>
      <c r="G363">
        <v>956530000</v>
      </c>
      <c r="H363" s="93">
        <f t="shared" si="20"/>
        <v>1.0576246237238349</v>
      </c>
      <c r="I363">
        <f t="shared" si="22"/>
        <v>1.1423997198038627</v>
      </c>
      <c r="J363">
        <f t="shared" si="21"/>
        <v>4.0118666364474427E-2</v>
      </c>
      <c r="K363" s="91">
        <v>29252</v>
      </c>
      <c r="Q363">
        <v>8178309.2321725395</v>
      </c>
    </row>
    <row r="364" spans="1:17">
      <c r="A364" s="91">
        <v>29281</v>
      </c>
      <c r="B364">
        <v>113.660004</v>
      </c>
      <c r="C364">
        <v>114.339996</v>
      </c>
      <c r="D364">
        <v>94.230002999999996</v>
      </c>
      <c r="E364">
        <v>102.089996</v>
      </c>
      <c r="F364">
        <v>102.089996</v>
      </c>
      <c r="G364">
        <v>876450000</v>
      </c>
      <c r="H364" s="93">
        <f t="shared" si="20"/>
        <v>0.99562018235388294</v>
      </c>
      <c r="I364">
        <f t="shared" si="22"/>
        <v>1.1805152179114584</v>
      </c>
      <c r="J364">
        <f t="shared" si="21"/>
        <v>3.7584692772171927E-2</v>
      </c>
      <c r="K364" s="91">
        <v>29281</v>
      </c>
      <c r="Q364">
        <v>4263571.1402809275</v>
      </c>
    </row>
    <row r="365" spans="1:17">
      <c r="A365" s="91">
        <v>29312</v>
      </c>
      <c r="B365">
        <v>102.089996</v>
      </c>
      <c r="C365">
        <v>106.790001</v>
      </c>
      <c r="D365">
        <v>98.949996999999996</v>
      </c>
      <c r="E365">
        <v>106.290001</v>
      </c>
      <c r="F365">
        <v>106.290001</v>
      </c>
      <c r="G365">
        <v>674140000</v>
      </c>
      <c r="H365" s="93">
        <f t="shared" si="20"/>
        <v>0.89820510652102381</v>
      </c>
      <c r="I365">
        <f t="shared" si="22"/>
        <v>1.0052185704060372</v>
      </c>
      <c r="J365">
        <f t="shared" si="21"/>
        <v>4.8067077229165076E-2</v>
      </c>
      <c r="K365" s="91">
        <v>29312</v>
      </c>
      <c r="Q365">
        <v>7189531.6983069656</v>
      </c>
    </row>
    <row r="366" spans="1:17">
      <c r="A366" s="91">
        <v>29342</v>
      </c>
      <c r="B366">
        <v>106.290001</v>
      </c>
      <c r="C366">
        <v>112.720001</v>
      </c>
      <c r="D366">
        <v>103.5</v>
      </c>
      <c r="E366">
        <v>111.239998</v>
      </c>
      <c r="F366">
        <v>111.239998</v>
      </c>
      <c r="G366">
        <v>764920000</v>
      </c>
      <c r="H366" s="93">
        <f t="shared" si="20"/>
        <v>1.041140221026162</v>
      </c>
      <c r="I366">
        <f t="shared" si="22"/>
        <v>1.044516498731987</v>
      </c>
      <c r="J366">
        <f t="shared" si="21"/>
        <v>4.9411449419298231E-2</v>
      </c>
      <c r="K366" s="91">
        <v>29342</v>
      </c>
      <c r="Q366">
        <v>3538950.5234617358</v>
      </c>
    </row>
    <row r="367" spans="1:17">
      <c r="A367" s="91">
        <v>29373</v>
      </c>
      <c r="B367">
        <v>111.239998</v>
      </c>
      <c r="C367">
        <v>117.980003</v>
      </c>
      <c r="D367">
        <v>109.769997</v>
      </c>
      <c r="E367">
        <v>114.239998</v>
      </c>
      <c r="F367">
        <v>114.239998</v>
      </c>
      <c r="G367">
        <v>829660000</v>
      </c>
      <c r="H367" s="93">
        <f t="shared" si="20"/>
        <v>1.0465706741314265</v>
      </c>
      <c r="I367">
        <f t="shared" si="22"/>
        <v>1.1227290649428934</v>
      </c>
      <c r="J367">
        <f t="shared" si="21"/>
        <v>4.9718051515573215E-2</v>
      </c>
      <c r="K367" s="91">
        <v>29373</v>
      </c>
      <c r="Q367">
        <v>3591538.5570703023</v>
      </c>
    </row>
    <row r="368" spans="1:17">
      <c r="A368" s="91">
        <v>29403</v>
      </c>
      <c r="B368">
        <v>114.239998</v>
      </c>
      <c r="C368">
        <v>123.93</v>
      </c>
      <c r="D368">
        <v>113.540001</v>
      </c>
      <c r="E368">
        <v>121.66999800000001</v>
      </c>
      <c r="F368">
        <v>121.66999800000001</v>
      </c>
      <c r="G368">
        <v>1021770000</v>
      </c>
      <c r="H368" s="93">
        <f t="shared" si="20"/>
        <v>1.0269687167739792</v>
      </c>
      <c r="I368">
        <f t="shared" si="22"/>
        <v>1.11009613798091</v>
      </c>
      <c r="J368">
        <f t="shared" si="21"/>
        <v>4.9236248710199514E-2</v>
      </c>
      <c r="K368" s="91">
        <v>29403</v>
      </c>
      <c r="Q368">
        <v>6795048.8439162327</v>
      </c>
    </row>
    <row r="369" spans="1:17">
      <c r="A369" s="91">
        <v>29434</v>
      </c>
      <c r="B369">
        <v>121.66999800000001</v>
      </c>
      <c r="C369">
        <v>127.779999</v>
      </c>
      <c r="D369">
        <v>119.41999800000001</v>
      </c>
      <c r="E369">
        <v>122.379997</v>
      </c>
      <c r="F369">
        <v>122.379997</v>
      </c>
      <c r="G369">
        <v>965660000</v>
      </c>
      <c r="H369" s="93">
        <f t="shared" si="20"/>
        <v>1.065038516544792</v>
      </c>
      <c r="I369">
        <f t="shared" si="22"/>
        <v>1.1720450856766225</v>
      </c>
      <c r="J369">
        <f t="shared" si="21"/>
        <v>5.1735753497612336E-2</v>
      </c>
      <c r="K369" s="91">
        <v>29434</v>
      </c>
      <c r="Q369">
        <v>4049012.7589266356</v>
      </c>
    </row>
    <row r="370" spans="1:17">
      <c r="A370" s="91">
        <v>29465</v>
      </c>
      <c r="B370">
        <v>122.379997</v>
      </c>
      <c r="C370">
        <v>132.16999799999999</v>
      </c>
      <c r="D370">
        <v>121.790001</v>
      </c>
      <c r="E370">
        <v>125.459999</v>
      </c>
      <c r="F370">
        <v>125.459999</v>
      </c>
      <c r="G370">
        <v>1057710000</v>
      </c>
      <c r="H370" s="93">
        <f t="shared" si="20"/>
        <v>1.0058354484398035</v>
      </c>
      <c r="I370">
        <f t="shared" si="22"/>
        <v>1.1194657610684231</v>
      </c>
      <c r="J370">
        <f t="shared" si="21"/>
        <v>5.0317900991373836E-2</v>
      </c>
      <c r="K370" s="91">
        <v>29465</v>
      </c>
      <c r="Q370">
        <v>2046820.4984199849</v>
      </c>
    </row>
    <row r="371" spans="1:17">
      <c r="A371" s="91">
        <v>29495</v>
      </c>
      <c r="B371">
        <v>125.459999</v>
      </c>
      <c r="C371">
        <v>135.88000500000001</v>
      </c>
      <c r="D371">
        <v>124.660004</v>
      </c>
      <c r="E371">
        <v>127.470001</v>
      </c>
      <c r="F371">
        <v>127.470001</v>
      </c>
      <c r="G371">
        <v>1031790000</v>
      </c>
      <c r="H371" s="93">
        <f t="shared" si="20"/>
        <v>1.0251675279907058</v>
      </c>
      <c r="I371">
        <f t="shared" si="22"/>
        <v>1.1490062890556589</v>
      </c>
      <c r="J371">
        <f t="shared" si="21"/>
        <v>5.0329737636754572E-2</v>
      </c>
      <c r="K371" s="91">
        <v>29495</v>
      </c>
      <c r="Q371">
        <v>6296005.2371395277</v>
      </c>
    </row>
    <row r="372" spans="1:17">
      <c r="A372" s="91">
        <v>29526</v>
      </c>
      <c r="B372">
        <v>127.470001</v>
      </c>
      <c r="C372">
        <v>141.96000699999999</v>
      </c>
      <c r="D372">
        <v>127.230003</v>
      </c>
      <c r="E372">
        <v>140.520004</v>
      </c>
      <c r="F372">
        <v>140.520004</v>
      </c>
      <c r="G372">
        <v>988110000</v>
      </c>
      <c r="H372" s="93">
        <f t="shared" si="20"/>
        <v>1.0160210586324012</v>
      </c>
      <c r="I372">
        <f t="shared" si="22"/>
        <v>1.2519151541936751</v>
      </c>
      <c r="J372">
        <f t="shared" si="21"/>
        <v>4.3525245763321056E-2</v>
      </c>
      <c r="K372" s="91">
        <v>29526</v>
      </c>
      <c r="Q372">
        <v>5138647.8873105766</v>
      </c>
    </row>
    <row r="373" spans="1:17">
      <c r="A373" s="91">
        <v>29556</v>
      </c>
      <c r="B373">
        <v>140.520004</v>
      </c>
      <c r="C373">
        <v>140.66000399999999</v>
      </c>
      <c r="D373">
        <v>125.32</v>
      </c>
      <c r="E373">
        <v>135.759995</v>
      </c>
      <c r="F373">
        <v>135.759995</v>
      </c>
      <c r="G373">
        <v>1025650000</v>
      </c>
      <c r="H373" s="93">
        <f t="shared" si="20"/>
        <v>1.1023770526211889</v>
      </c>
      <c r="I373">
        <f t="shared" si="22"/>
        <v>1.3236623841875514</v>
      </c>
      <c r="J373">
        <f t="shared" si="21"/>
        <v>4.9395961232662267E-2</v>
      </c>
      <c r="K373" s="91">
        <v>29556</v>
      </c>
      <c r="Q373">
        <v>5832189.1863989476</v>
      </c>
    </row>
    <row r="374" spans="1:17">
      <c r="A374" s="91">
        <v>29587</v>
      </c>
      <c r="B374">
        <v>135.759995</v>
      </c>
      <c r="C374">
        <v>140.320007</v>
      </c>
      <c r="D374">
        <v>128.570007</v>
      </c>
      <c r="E374">
        <v>129.550003</v>
      </c>
      <c r="F374">
        <v>129.550003</v>
      </c>
      <c r="G374">
        <v>955520000</v>
      </c>
      <c r="H374" s="93">
        <f t="shared" si="20"/>
        <v>0.96612575530527312</v>
      </c>
      <c r="I374">
        <f t="shared" si="22"/>
        <v>1.2577357095101775</v>
      </c>
      <c r="J374">
        <f t="shared" si="21"/>
        <v>5.2224839361207143E-2</v>
      </c>
      <c r="K374" s="91">
        <v>29587</v>
      </c>
      <c r="Q374">
        <v>941984.32525544288</v>
      </c>
    </row>
    <row r="375" spans="1:17">
      <c r="A375" s="91">
        <v>29618</v>
      </c>
      <c r="B375">
        <v>129.479996</v>
      </c>
      <c r="C375">
        <v>132.020004</v>
      </c>
      <c r="D375">
        <v>124.660004</v>
      </c>
      <c r="E375">
        <v>131.270004</v>
      </c>
      <c r="F375">
        <v>131.270004</v>
      </c>
      <c r="G375">
        <v>816310000</v>
      </c>
      <c r="H375" s="93">
        <f t="shared" si="20"/>
        <v>0.95374190312838469</v>
      </c>
      <c r="I375">
        <f t="shared" si="22"/>
        <v>1.134197542599946</v>
      </c>
      <c r="J375">
        <f t="shared" si="21"/>
        <v>5.409831753275255E-2</v>
      </c>
      <c r="K375" s="91">
        <v>29618</v>
      </c>
      <c r="Q375">
        <v>2939771.0225841193</v>
      </c>
    </row>
    <row r="376" spans="1:17">
      <c r="A376" s="91">
        <v>29646</v>
      </c>
      <c r="B376">
        <v>131.270004</v>
      </c>
      <c r="C376">
        <v>138.38000500000001</v>
      </c>
      <c r="D376">
        <v>128.55999800000001</v>
      </c>
      <c r="E376">
        <v>136</v>
      </c>
      <c r="F376">
        <v>136</v>
      </c>
      <c r="G376">
        <v>1174530000</v>
      </c>
      <c r="H376" s="93">
        <f t="shared" si="20"/>
        <v>1.0138245910974542</v>
      </c>
      <c r="I376">
        <f t="shared" si="22"/>
        <v>1.1549357679065364</v>
      </c>
      <c r="J376">
        <f t="shared" si="21"/>
        <v>5.3854961393784123E-2</v>
      </c>
      <c r="K376" s="91">
        <v>29646</v>
      </c>
      <c r="Q376">
        <v>954766.67152786185</v>
      </c>
    </row>
    <row r="377" spans="1:17">
      <c r="A377" s="91">
        <v>29677</v>
      </c>
      <c r="B377">
        <v>136</v>
      </c>
      <c r="C377">
        <v>137.720001</v>
      </c>
      <c r="D377">
        <v>131.58000200000001</v>
      </c>
      <c r="E377">
        <v>132.80999800000001</v>
      </c>
      <c r="F377">
        <v>132.80999800000001</v>
      </c>
      <c r="G377">
        <v>1123470000</v>
      </c>
      <c r="H377" s="93">
        <f t="shared" si="20"/>
        <v>1.0360325729859809</v>
      </c>
      <c r="I377">
        <f t="shared" si="22"/>
        <v>1.3321579520876854</v>
      </c>
      <c r="J377">
        <f t="shared" si="21"/>
        <v>3.9952569911362049E-2</v>
      </c>
      <c r="K377" s="91">
        <v>29677</v>
      </c>
      <c r="Q377">
        <v>1093673.4851979408</v>
      </c>
    </row>
    <row r="378" spans="1:17">
      <c r="A378" s="91">
        <v>29707</v>
      </c>
      <c r="B378">
        <v>132.80999800000001</v>
      </c>
      <c r="C378">
        <v>134.91999799999999</v>
      </c>
      <c r="D378">
        <v>128.779999</v>
      </c>
      <c r="E378">
        <v>132.58999600000001</v>
      </c>
      <c r="F378">
        <v>132.58999600000001</v>
      </c>
      <c r="G378">
        <v>905430000</v>
      </c>
      <c r="H378" s="93">
        <f t="shared" si="20"/>
        <v>0.97654410294117655</v>
      </c>
      <c r="I378">
        <f t="shared" si="22"/>
        <v>1.2495060377316207</v>
      </c>
      <c r="J378">
        <f t="shared" si="21"/>
        <v>4.1871651129151442E-2</v>
      </c>
      <c r="K378" s="91">
        <v>29707</v>
      </c>
      <c r="Q378">
        <v>8992156.5926304441</v>
      </c>
    </row>
    <row r="379" spans="1:17">
      <c r="A379" s="91">
        <v>29738</v>
      </c>
      <c r="B379">
        <v>132.58999600000001</v>
      </c>
      <c r="C379">
        <v>135.66999799999999</v>
      </c>
      <c r="D379">
        <v>128.770004</v>
      </c>
      <c r="E379">
        <v>131.21000699999999</v>
      </c>
      <c r="F379">
        <v>131.21000699999999</v>
      </c>
      <c r="G379">
        <v>1100970000</v>
      </c>
      <c r="H379" s="93">
        <f t="shared" si="20"/>
        <v>0.99834348314650234</v>
      </c>
      <c r="I379">
        <f t="shared" si="22"/>
        <v>1.1919273497290068</v>
      </c>
      <c r="J379">
        <f t="shared" si="21"/>
        <v>4.1350535427599318E-2</v>
      </c>
      <c r="K379" s="91">
        <v>29738</v>
      </c>
      <c r="Q379">
        <v>7520572.7162579959</v>
      </c>
    </row>
    <row r="380" spans="1:17">
      <c r="A380" s="91">
        <v>29768</v>
      </c>
      <c r="B380">
        <v>131.21000699999999</v>
      </c>
      <c r="C380">
        <v>131.779999</v>
      </c>
      <c r="D380">
        <v>125.959999</v>
      </c>
      <c r="E380">
        <v>130.91999799999999</v>
      </c>
      <c r="F380">
        <v>130.91999799999999</v>
      </c>
      <c r="G380">
        <v>953970000</v>
      </c>
      <c r="H380" s="93">
        <f t="shared" si="20"/>
        <v>0.98959205791061322</v>
      </c>
      <c r="I380">
        <f t="shared" si="22"/>
        <v>1.1485470001496323</v>
      </c>
      <c r="J380">
        <f t="shared" si="21"/>
        <v>4.1813368706854599E-2</v>
      </c>
      <c r="K380" s="91">
        <v>29768</v>
      </c>
      <c r="Q380">
        <v>4342413.4267088948</v>
      </c>
    </row>
    <row r="381" spans="1:17">
      <c r="A381" s="91">
        <v>29799</v>
      </c>
      <c r="B381">
        <v>130.91999799999999</v>
      </c>
      <c r="C381">
        <v>135.179993</v>
      </c>
      <c r="D381">
        <v>122.290001</v>
      </c>
      <c r="E381">
        <v>122.790001</v>
      </c>
      <c r="F381">
        <v>122.790001</v>
      </c>
      <c r="G381">
        <v>920550000</v>
      </c>
      <c r="H381" s="93">
        <f t="shared" si="20"/>
        <v>0.9977897341320926</v>
      </c>
      <c r="I381">
        <f t="shared" si="22"/>
        <v>1.0760253156246455</v>
      </c>
      <c r="J381">
        <f t="shared" si="21"/>
        <v>3.8489630287909353E-2</v>
      </c>
      <c r="K381" s="91">
        <v>29799</v>
      </c>
      <c r="Q381">
        <v>3372625.6198203517</v>
      </c>
    </row>
    <row r="382" spans="1:17">
      <c r="A382" s="91">
        <v>29830</v>
      </c>
      <c r="B382">
        <v>122.790001</v>
      </c>
      <c r="C382">
        <v>124.58000199999999</v>
      </c>
      <c r="D382">
        <v>110.19000200000001</v>
      </c>
      <c r="E382">
        <v>116.18</v>
      </c>
      <c r="F382">
        <v>116.18</v>
      </c>
      <c r="G382">
        <v>959140000</v>
      </c>
      <c r="H382" s="93">
        <f t="shared" si="20"/>
        <v>0.93790103021541449</v>
      </c>
      <c r="I382">
        <f t="shared" si="22"/>
        <v>1.0033502533914918</v>
      </c>
      <c r="J382">
        <f t="shared" si="21"/>
        <v>4.3332957701462588E-2</v>
      </c>
      <c r="K382" s="91">
        <v>29830</v>
      </c>
      <c r="Q382">
        <v>1704119.2959156982</v>
      </c>
    </row>
    <row r="383" spans="1:17">
      <c r="A383" s="91">
        <v>29860</v>
      </c>
      <c r="B383">
        <v>116.18</v>
      </c>
      <c r="C383">
        <v>123.279999</v>
      </c>
      <c r="D383">
        <v>115</v>
      </c>
      <c r="E383">
        <v>121.889999</v>
      </c>
      <c r="F383">
        <v>121.889999</v>
      </c>
      <c r="G383">
        <v>997560000</v>
      </c>
      <c r="H383" s="93">
        <f t="shared" si="20"/>
        <v>0.94616824703829105</v>
      </c>
      <c r="I383">
        <f t="shared" si="22"/>
        <v>0.92603220887958093</v>
      </c>
      <c r="J383">
        <f t="shared" si="21"/>
        <v>4.5303832797068476E-2</v>
      </c>
      <c r="K383" s="91">
        <v>29860</v>
      </c>
      <c r="Q383">
        <v>2949074.7912957985</v>
      </c>
    </row>
    <row r="384" spans="1:17">
      <c r="A384" s="91">
        <v>29891</v>
      </c>
      <c r="B384">
        <v>122.349998</v>
      </c>
      <c r="C384">
        <v>126.970001</v>
      </c>
      <c r="D384">
        <v>119.129997</v>
      </c>
      <c r="E384">
        <v>126.349998</v>
      </c>
      <c r="F384">
        <v>126.349998</v>
      </c>
      <c r="G384">
        <v>987920000</v>
      </c>
      <c r="H384" s="93">
        <f t="shared" si="20"/>
        <v>1.0531072301600963</v>
      </c>
      <c r="I384">
        <f t="shared" si="22"/>
        <v>0.95983366313772922</v>
      </c>
      <c r="J384">
        <f t="shared" si="21"/>
        <v>4.8082309117287884E-2</v>
      </c>
      <c r="K384" s="91">
        <v>29891</v>
      </c>
      <c r="Q384">
        <v>4367020.9602115061</v>
      </c>
    </row>
    <row r="385" spans="1:17">
      <c r="A385" s="91">
        <v>29921</v>
      </c>
      <c r="B385">
        <v>126.349998</v>
      </c>
      <c r="C385">
        <v>127.32</v>
      </c>
      <c r="D385">
        <v>121.040001</v>
      </c>
      <c r="E385">
        <v>122.550003</v>
      </c>
      <c r="F385">
        <v>122.550003</v>
      </c>
      <c r="G385">
        <v>959470000</v>
      </c>
      <c r="H385" s="93">
        <f t="shared" si="20"/>
        <v>1.0326930941183996</v>
      </c>
      <c r="I385">
        <f t="shared" si="22"/>
        <v>0.89916022205635571</v>
      </c>
      <c r="J385">
        <f t="shared" si="21"/>
        <v>3.7274987754992946E-2</v>
      </c>
      <c r="K385" s="91">
        <v>29921</v>
      </c>
      <c r="Q385">
        <v>9957957.2114909403</v>
      </c>
    </row>
    <row r="386" spans="1:17">
      <c r="A386" s="91">
        <v>29952</v>
      </c>
      <c r="B386">
        <v>122.550003</v>
      </c>
      <c r="C386">
        <v>123.720001</v>
      </c>
      <c r="D386">
        <v>113.629997</v>
      </c>
      <c r="E386">
        <v>120.400002</v>
      </c>
      <c r="F386">
        <v>120.400002</v>
      </c>
      <c r="G386">
        <v>968340000</v>
      </c>
      <c r="H386" s="93">
        <f t="shared" si="20"/>
        <v>0.96992485112663007</v>
      </c>
      <c r="I386">
        <f t="shared" si="22"/>
        <v>0.90269598934502027</v>
      </c>
      <c r="J386">
        <f t="shared" si="21"/>
        <v>3.7052367529995203E-2</v>
      </c>
      <c r="K386" s="91">
        <v>29952</v>
      </c>
      <c r="Q386">
        <v>6602676.0439988393</v>
      </c>
    </row>
    <row r="387" spans="1:17">
      <c r="A387" s="91">
        <v>29983</v>
      </c>
      <c r="B387">
        <v>119.80999799999999</v>
      </c>
      <c r="C387">
        <v>119.80999799999999</v>
      </c>
      <c r="D387">
        <v>110.029999</v>
      </c>
      <c r="E387">
        <v>113.110001</v>
      </c>
      <c r="F387">
        <v>113.110001</v>
      </c>
      <c r="G387">
        <v>972190000</v>
      </c>
      <c r="H387" s="93">
        <f t="shared" si="20"/>
        <v>0.9776417386134213</v>
      </c>
      <c r="I387">
        <f t="shared" si="22"/>
        <v>0.92531666435948912</v>
      </c>
      <c r="J387">
        <f t="shared" si="21"/>
        <v>3.5406613429111389E-2</v>
      </c>
      <c r="K387" s="91">
        <v>29983</v>
      </c>
      <c r="Q387">
        <v>2753867.5386344148</v>
      </c>
    </row>
    <row r="388" spans="1:17">
      <c r="A388" s="91">
        <v>30011</v>
      </c>
      <c r="B388">
        <v>113.110001</v>
      </c>
      <c r="C388">
        <v>114.800003</v>
      </c>
      <c r="D388">
        <v>104.459999</v>
      </c>
      <c r="E388">
        <v>111.959999</v>
      </c>
      <c r="F388">
        <v>111.959999</v>
      </c>
      <c r="G388">
        <v>1268690000</v>
      </c>
      <c r="H388" s="93">
        <f t="shared" ref="H388:H451" si="23">B388/B387</f>
        <v>0.94407814780198895</v>
      </c>
      <c r="I388">
        <f t="shared" si="22"/>
        <v>0.86165915710644758</v>
      </c>
      <c r="J388">
        <f t="shared" si="21"/>
        <v>3.7540127930535544E-2</v>
      </c>
      <c r="K388" s="91">
        <v>30011</v>
      </c>
      <c r="Q388">
        <v>1012981.7288676033</v>
      </c>
    </row>
    <row r="389" spans="1:17">
      <c r="A389" s="91">
        <v>30042</v>
      </c>
      <c r="B389">
        <v>111.959999</v>
      </c>
      <c r="C389">
        <v>119.33000199999999</v>
      </c>
      <c r="D389">
        <v>111.480003</v>
      </c>
      <c r="E389">
        <v>116.44000200000001</v>
      </c>
      <c r="F389">
        <v>116.44000200000001</v>
      </c>
      <c r="G389">
        <v>1136490000</v>
      </c>
      <c r="H389" s="93">
        <f t="shared" si="23"/>
        <v>0.98983288842867223</v>
      </c>
      <c r="I389">
        <f t="shared" si="22"/>
        <v>0.82323528676470581</v>
      </c>
      <c r="J389">
        <f t="shared" si="21"/>
        <v>3.4443131431020929E-2</v>
      </c>
      <c r="K389" s="91">
        <v>30042</v>
      </c>
      <c r="Q389">
        <v>8837708.546458561</v>
      </c>
    </row>
    <row r="390" spans="1:17">
      <c r="A390" s="91">
        <v>30072</v>
      </c>
      <c r="B390">
        <v>115.959999</v>
      </c>
      <c r="C390">
        <v>119.91999800000001</v>
      </c>
      <c r="D390">
        <v>111.660004</v>
      </c>
      <c r="E390">
        <v>111.879997</v>
      </c>
      <c r="F390">
        <v>111.879997</v>
      </c>
      <c r="G390">
        <v>1026460000</v>
      </c>
      <c r="H390" s="93">
        <f t="shared" si="23"/>
        <v>1.035727045692453</v>
      </c>
      <c r="I390">
        <f t="shared" si="22"/>
        <v>0.87312702918646223</v>
      </c>
      <c r="J390">
        <f t="shared" si="21"/>
        <v>3.7322224573144658E-2</v>
      </c>
      <c r="K390" s="91">
        <v>30072</v>
      </c>
      <c r="Q390">
        <v>2454803.2957567344</v>
      </c>
    </row>
    <row r="391" spans="1:17">
      <c r="A391" s="91">
        <v>30103</v>
      </c>
      <c r="B391">
        <v>111.970001</v>
      </c>
      <c r="C391">
        <v>112.480003</v>
      </c>
      <c r="D391">
        <v>107.010002</v>
      </c>
      <c r="E391">
        <v>109.610001</v>
      </c>
      <c r="F391">
        <v>109.610001</v>
      </c>
      <c r="G391">
        <v>1110530000</v>
      </c>
      <c r="H391" s="93">
        <f t="shared" si="23"/>
        <v>0.96559160025518798</v>
      </c>
      <c r="I391">
        <f t="shared" si="22"/>
        <v>0.84448302570278366</v>
      </c>
      <c r="J391">
        <f t="shared" si="21"/>
        <v>3.7803191272576711E-2</v>
      </c>
      <c r="K391" s="91">
        <v>30103</v>
      </c>
      <c r="Q391">
        <v>7007048.7254126975</v>
      </c>
    </row>
    <row r="392" spans="1:17">
      <c r="A392" s="91">
        <v>30133</v>
      </c>
      <c r="B392">
        <v>109.519997</v>
      </c>
      <c r="C392">
        <v>112.389999</v>
      </c>
      <c r="D392">
        <v>105.57</v>
      </c>
      <c r="E392">
        <v>107.089996</v>
      </c>
      <c r="F392">
        <v>107.089996</v>
      </c>
      <c r="G392">
        <v>1145190000</v>
      </c>
      <c r="H392" s="93">
        <f t="shared" si="23"/>
        <v>0.97811910352666698</v>
      </c>
      <c r="I392">
        <f t="shared" si="22"/>
        <v>0.83469241031288122</v>
      </c>
      <c r="J392">
        <f t="shared" si="21"/>
        <v>3.7867615071396861E-2</v>
      </c>
      <c r="K392" s="91">
        <v>30133</v>
      </c>
      <c r="Q392">
        <v>17530497.082419954</v>
      </c>
    </row>
    <row r="393" spans="1:17">
      <c r="A393" s="91">
        <v>30164</v>
      </c>
      <c r="B393">
        <v>107.709999</v>
      </c>
      <c r="C393">
        <v>120.260002</v>
      </c>
      <c r="D393">
        <v>102.199997</v>
      </c>
      <c r="E393">
        <v>119.510002</v>
      </c>
      <c r="F393">
        <v>119.510002</v>
      </c>
      <c r="G393">
        <v>1672770000</v>
      </c>
      <c r="H393" s="93">
        <f t="shared" si="23"/>
        <v>0.98347335601187058</v>
      </c>
      <c r="I393">
        <f t="shared" si="22"/>
        <v>0.8227161674719855</v>
      </c>
      <c r="J393">
        <f t="shared" si="21"/>
        <v>3.7677642558860552E-2</v>
      </c>
      <c r="K393" s="91">
        <v>30164</v>
      </c>
      <c r="Q393">
        <v>10936868.41660401</v>
      </c>
    </row>
    <row r="394" spans="1:17">
      <c r="A394" s="91">
        <v>30195</v>
      </c>
      <c r="B394">
        <v>119.519997</v>
      </c>
      <c r="C394">
        <v>126.43</v>
      </c>
      <c r="D394">
        <v>117.839996</v>
      </c>
      <c r="E394">
        <v>120.41999800000001</v>
      </c>
      <c r="F394">
        <v>120.41999800000001</v>
      </c>
      <c r="G394">
        <v>1548040000</v>
      </c>
      <c r="H394" s="93">
        <f t="shared" si="23"/>
        <v>1.1096462548477046</v>
      </c>
      <c r="I394">
        <f t="shared" si="22"/>
        <v>0.97336913451120499</v>
      </c>
      <c r="J394">
        <f t="shared" si="21"/>
        <v>4.9212289296605941E-2</v>
      </c>
      <c r="K394" s="91">
        <v>30195</v>
      </c>
      <c r="Q394">
        <v>8101530.8333063116</v>
      </c>
    </row>
    <row r="395" spans="1:17">
      <c r="A395" s="91">
        <v>30225</v>
      </c>
      <c r="B395">
        <v>120.400002</v>
      </c>
      <c r="C395">
        <v>140.39999399999999</v>
      </c>
      <c r="D395">
        <v>120.150002</v>
      </c>
      <c r="E395">
        <v>133.720001</v>
      </c>
      <c r="F395">
        <v>133.720001</v>
      </c>
      <c r="G395">
        <v>2068560000</v>
      </c>
      <c r="H395" s="93">
        <f t="shared" si="23"/>
        <v>1.0073628264900307</v>
      </c>
      <c r="I395">
        <f t="shared" si="22"/>
        <v>1.0363229643656395</v>
      </c>
      <c r="J395">
        <f t="shared" si="21"/>
        <v>4.6345916302995359E-2</v>
      </c>
      <c r="K395" s="91">
        <v>30225</v>
      </c>
      <c r="Q395">
        <v>2839355.4803947164</v>
      </c>
    </row>
    <row r="396" spans="1:17">
      <c r="A396" s="91">
        <v>30256</v>
      </c>
      <c r="B396">
        <v>133.720001</v>
      </c>
      <c r="C396">
        <v>144.36000100000001</v>
      </c>
      <c r="D396">
        <v>132.88999899999999</v>
      </c>
      <c r="E396">
        <v>138.529999</v>
      </c>
      <c r="F396">
        <v>138.529999</v>
      </c>
      <c r="G396">
        <v>1857040000</v>
      </c>
      <c r="H396" s="93">
        <f t="shared" si="23"/>
        <v>1.1106312190925047</v>
      </c>
      <c r="I396">
        <f t="shared" si="22"/>
        <v>1.0929301445513713</v>
      </c>
      <c r="J396">
        <f t="shared" si="21"/>
        <v>5.4203335455258135E-2</v>
      </c>
      <c r="K396" s="91">
        <v>30256</v>
      </c>
      <c r="Q396">
        <v>5866643.5578498617</v>
      </c>
    </row>
    <row r="397" spans="1:17">
      <c r="A397" s="91">
        <v>30286</v>
      </c>
      <c r="B397">
        <v>138.55999800000001</v>
      </c>
      <c r="C397">
        <v>143.679993</v>
      </c>
      <c r="D397">
        <v>134.78999300000001</v>
      </c>
      <c r="E397">
        <v>140.63999899999999</v>
      </c>
      <c r="F397">
        <v>140.63999899999999</v>
      </c>
      <c r="G397">
        <v>1682080000</v>
      </c>
      <c r="H397" s="93">
        <f t="shared" si="23"/>
        <v>1.036195011694623</v>
      </c>
      <c r="I397">
        <f t="shared" si="22"/>
        <v>1.0966363291909194</v>
      </c>
      <c r="J397">
        <f t="shared" si="21"/>
        <v>5.4353317587068573E-2</v>
      </c>
      <c r="K397" s="91">
        <v>30286</v>
      </c>
      <c r="Q397">
        <v>3168097.8798683579</v>
      </c>
    </row>
    <row r="398" spans="1:17">
      <c r="A398" s="91">
        <v>30317</v>
      </c>
      <c r="B398">
        <v>140.64999399999999</v>
      </c>
      <c r="C398">
        <v>148.36000100000001</v>
      </c>
      <c r="D398">
        <v>138.08000200000001</v>
      </c>
      <c r="E398">
        <v>145.300003</v>
      </c>
      <c r="F398">
        <v>145.300003</v>
      </c>
      <c r="G398">
        <v>1857600000</v>
      </c>
      <c r="H398" s="93">
        <f t="shared" si="23"/>
        <v>1.015083689594164</v>
      </c>
      <c r="I398">
        <f t="shared" si="22"/>
        <v>1.1476947413865015</v>
      </c>
      <c r="J398">
        <f t="shared" si="21"/>
        <v>5.294562290309645E-2</v>
      </c>
      <c r="K398" s="91">
        <v>30317</v>
      </c>
      <c r="Q398">
        <v>2335717.5235011699</v>
      </c>
    </row>
    <row r="399" spans="1:17">
      <c r="A399" s="91">
        <v>30348</v>
      </c>
      <c r="B399">
        <v>145.28999300000001</v>
      </c>
      <c r="C399">
        <v>150.88000500000001</v>
      </c>
      <c r="D399">
        <v>141.89999399999999</v>
      </c>
      <c r="E399">
        <v>148.05999800000001</v>
      </c>
      <c r="F399">
        <v>148.05999800000001</v>
      </c>
      <c r="G399">
        <v>1615450000</v>
      </c>
      <c r="H399" s="93">
        <f t="shared" si="23"/>
        <v>1.0329896850191123</v>
      </c>
      <c r="I399">
        <f t="shared" si="22"/>
        <v>1.2126700227471836</v>
      </c>
      <c r="J399">
        <f t="shared" ref="J399:J462" si="24">_xlfn.STDEV.S(H388:H399)</f>
        <v>5.2008625836882379E-2</v>
      </c>
      <c r="K399" s="91">
        <v>30348</v>
      </c>
      <c r="Q399">
        <v>3066257.6279159044</v>
      </c>
    </row>
    <row r="400" spans="1:17">
      <c r="A400" s="91">
        <v>30376</v>
      </c>
      <c r="B400">
        <v>148.070007</v>
      </c>
      <c r="C400">
        <v>155.020004</v>
      </c>
      <c r="D400">
        <v>148.070007</v>
      </c>
      <c r="E400">
        <v>152.96000699999999</v>
      </c>
      <c r="F400">
        <v>152.96000699999999</v>
      </c>
      <c r="G400">
        <v>1901920000</v>
      </c>
      <c r="H400" s="93">
        <f t="shared" si="23"/>
        <v>1.0191342427829837</v>
      </c>
      <c r="I400">
        <f t="shared" ref="I400:I463" si="25">B400/B388</f>
        <v>1.3090797072842393</v>
      </c>
      <c r="J400">
        <f t="shared" si="24"/>
        <v>4.6624414405933401E-2</v>
      </c>
      <c r="K400" s="91">
        <v>30376</v>
      </c>
      <c r="Q400">
        <v>1085550.4095780379</v>
      </c>
    </row>
    <row r="401" spans="1:17">
      <c r="A401" s="91">
        <v>30407</v>
      </c>
      <c r="B401">
        <v>152.91999799999999</v>
      </c>
      <c r="C401">
        <v>164.429993</v>
      </c>
      <c r="D401">
        <v>150.16999799999999</v>
      </c>
      <c r="E401">
        <v>164.429993</v>
      </c>
      <c r="F401">
        <v>164.429993</v>
      </c>
      <c r="G401">
        <v>1786870000</v>
      </c>
      <c r="H401" s="93">
        <f t="shared" si="23"/>
        <v>1.0327547158149319</v>
      </c>
      <c r="I401">
        <f t="shared" si="25"/>
        <v>1.365844938958958</v>
      </c>
      <c r="J401">
        <f t="shared" si="24"/>
        <v>4.5425328297398426E-2</v>
      </c>
      <c r="K401" s="91">
        <v>30407</v>
      </c>
      <c r="Q401">
        <v>22489409.848869603</v>
      </c>
    </row>
    <row r="402" spans="1:17">
      <c r="A402" s="91">
        <v>30437</v>
      </c>
      <c r="B402">
        <v>164.41000399999999</v>
      </c>
      <c r="C402">
        <v>166.990005</v>
      </c>
      <c r="D402">
        <v>160.28999300000001</v>
      </c>
      <c r="E402">
        <v>162.38999899999999</v>
      </c>
      <c r="F402">
        <v>162.38999899999999</v>
      </c>
      <c r="G402">
        <v>1953130000</v>
      </c>
      <c r="H402" s="93">
        <f t="shared" si="23"/>
        <v>1.0751373669256783</v>
      </c>
      <c r="I402">
        <f t="shared" si="25"/>
        <v>1.4178165351657168</v>
      </c>
      <c r="J402">
        <f t="shared" si="24"/>
        <v>4.7474286328649203E-2</v>
      </c>
      <c r="K402" s="91">
        <v>30437</v>
      </c>
      <c r="Q402">
        <v>1359422.8622605598</v>
      </c>
    </row>
    <row r="403" spans="1:17">
      <c r="A403" s="91">
        <v>30468</v>
      </c>
      <c r="B403">
        <v>162.38000500000001</v>
      </c>
      <c r="C403">
        <v>171.60000600000001</v>
      </c>
      <c r="D403">
        <v>160.800003</v>
      </c>
      <c r="E403">
        <v>167.63999899999999</v>
      </c>
      <c r="F403">
        <v>167.63999899999999</v>
      </c>
      <c r="G403">
        <v>1973860000</v>
      </c>
      <c r="H403" s="93">
        <f t="shared" si="23"/>
        <v>0.98765282555433809</v>
      </c>
      <c r="I403">
        <f t="shared" si="25"/>
        <v>1.4502099093488443</v>
      </c>
      <c r="J403">
        <f t="shared" si="24"/>
        <v>4.5099557079115338E-2</v>
      </c>
      <c r="K403" s="91">
        <v>30468</v>
      </c>
      <c r="Q403">
        <v>1687126.147120273</v>
      </c>
    </row>
    <row r="404" spans="1:17">
      <c r="A404" s="91">
        <v>30498</v>
      </c>
      <c r="B404">
        <v>168.11000100000001</v>
      </c>
      <c r="C404">
        <v>170.720001</v>
      </c>
      <c r="D404">
        <v>161.5</v>
      </c>
      <c r="E404">
        <v>162.55999800000001</v>
      </c>
      <c r="F404">
        <v>162.55999800000001</v>
      </c>
      <c r="G404">
        <v>1590170000</v>
      </c>
      <c r="H404" s="93">
        <f t="shared" si="23"/>
        <v>1.0352875712745544</v>
      </c>
      <c r="I404">
        <f t="shared" si="25"/>
        <v>1.5349708327694713</v>
      </c>
      <c r="J404">
        <f t="shared" si="24"/>
        <v>4.1745053760752299E-2</v>
      </c>
      <c r="K404" s="91">
        <v>30498</v>
      </c>
      <c r="Q404">
        <v>12217349.013196254</v>
      </c>
    </row>
    <row r="405" spans="1:17">
      <c r="A405" s="91">
        <v>30529</v>
      </c>
      <c r="B405">
        <v>162.33999600000001</v>
      </c>
      <c r="C405">
        <v>165.91000399999999</v>
      </c>
      <c r="D405">
        <v>158.5</v>
      </c>
      <c r="E405">
        <v>164.39999399999999</v>
      </c>
      <c r="F405">
        <v>164.39999399999999</v>
      </c>
      <c r="G405">
        <v>1706430000</v>
      </c>
      <c r="H405" s="93">
        <f t="shared" si="23"/>
        <v>0.96567720560539405</v>
      </c>
      <c r="I405">
        <f t="shared" si="25"/>
        <v>1.507195223351548</v>
      </c>
      <c r="J405">
        <f t="shared" si="24"/>
        <v>4.4074928545282555E-2</v>
      </c>
      <c r="K405" s="91">
        <v>30529</v>
      </c>
      <c r="Q405">
        <v>1491669.7431224931</v>
      </c>
    </row>
    <row r="406" spans="1:17">
      <c r="A406" s="91">
        <v>30560</v>
      </c>
      <c r="B406">
        <v>164.39999399999999</v>
      </c>
      <c r="C406">
        <v>170.41000399999999</v>
      </c>
      <c r="D406">
        <v>163.949997</v>
      </c>
      <c r="E406">
        <v>166.070007</v>
      </c>
      <c r="F406">
        <v>166.070007</v>
      </c>
      <c r="G406">
        <v>1739810000</v>
      </c>
      <c r="H406" s="93">
        <f t="shared" si="23"/>
        <v>1.0126894052652311</v>
      </c>
      <c r="I406">
        <f t="shared" si="25"/>
        <v>1.3755019923569776</v>
      </c>
      <c r="J406">
        <f t="shared" si="24"/>
        <v>3.7698507640319553E-2</v>
      </c>
      <c r="K406" s="91">
        <v>30560</v>
      </c>
      <c r="Q406">
        <v>2920217.1712788991</v>
      </c>
    </row>
    <row r="407" spans="1:17">
      <c r="A407" s="91">
        <v>30590</v>
      </c>
      <c r="B407">
        <v>165.990005</v>
      </c>
      <c r="C407">
        <v>172.64999399999999</v>
      </c>
      <c r="D407">
        <v>162.86000100000001</v>
      </c>
      <c r="E407">
        <v>163.550003</v>
      </c>
      <c r="F407">
        <v>163.550003</v>
      </c>
      <c r="G407">
        <v>1794620000</v>
      </c>
      <c r="H407" s="93">
        <f t="shared" si="23"/>
        <v>1.0096716001096691</v>
      </c>
      <c r="I407">
        <f t="shared" si="25"/>
        <v>1.3786545036768354</v>
      </c>
      <c r="J407">
        <f t="shared" si="24"/>
        <v>3.7591857068317969E-2</v>
      </c>
      <c r="K407" s="91">
        <v>30590</v>
      </c>
      <c r="Q407">
        <v>4638169.4557845285</v>
      </c>
    </row>
    <row r="408" spans="1:17">
      <c r="A408" s="91">
        <v>30621</v>
      </c>
      <c r="B408">
        <v>163.550003</v>
      </c>
      <c r="C408">
        <v>168.070007</v>
      </c>
      <c r="D408">
        <v>161.63000500000001</v>
      </c>
      <c r="E408">
        <v>166.39999399999999</v>
      </c>
      <c r="F408">
        <v>166.39999399999999</v>
      </c>
      <c r="G408">
        <v>1814610000</v>
      </c>
      <c r="H408" s="93">
        <f t="shared" si="23"/>
        <v>0.98530030769021304</v>
      </c>
      <c r="I408">
        <f t="shared" si="25"/>
        <v>1.2230780868749769</v>
      </c>
      <c r="J408">
        <f t="shared" si="24"/>
        <v>2.886697437917822E-2</v>
      </c>
      <c r="K408" s="91">
        <v>30621</v>
      </c>
      <c r="Q408">
        <v>8382147.0337277045</v>
      </c>
    </row>
    <row r="409" spans="1:17">
      <c r="A409" s="91">
        <v>30651</v>
      </c>
      <c r="B409">
        <v>166.36999499999999</v>
      </c>
      <c r="C409">
        <v>166.770004</v>
      </c>
      <c r="D409">
        <v>161.58000200000001</v>
      </c>
      <c r="E409">
        <v>164.929993</v>
      </c>
      <c r="F409">
        <v>164.929993</v>
      </c>
      <c r="G409">
        <v>1848860000</v>
      </c>
      <c r="H409" s="93">
        <f t="shared" si="23"/>
        <v>1.0172423842755904</v>
      </c>
      <c r="I409">
        <f t="shared" si="25"/>
        <v>1.2007072560725642</v>
      </c>
      <c r="J409">
        <f t="shared" si="24"/>
        <v>2.8250968363320802E-2</v>
      </c>
      <c r="K409" s="91">
        <v>30651</v>
      </c>
      <c r="Q409">
        <v>5203443.0519966837</v>
      </c>
    </row>
    <row r="410" spans="1:17">
      <c r="A410" s="91">
        <v>30682</v>
      </c>
      <c r="B410">
        <v>164.929993</v>
      </c>
      <c r="C410">
        <v>169.53999300000001</v>
      </c>
      <c r="D410">
        <v>162.029999</v>
      </c>
      <c r="E410">
        <v>163.41000399999999</v>
      </c>
      <c r="F410">
        <v>163.41000399999999</v>
      </c>
      <c r="G410">
        <v>2215660000</v>
      </c>
      <c r="H410" s="93">
        <f t="shared" si="23"/>
        <v>0.99134458109468604</v>
      </c>
      <c r="I410">
        <f t="shared" si="25"/>
        <v>1.1726270887718631</v>
      </c>
      <c r="J410">
        <f t="shared" si="24"/>
        <v>2.911733039675914E-2</v>
      </c>
      <c r="K410" s="91">
        <v>30682</v>
      </c>
      <c r="Q410">
        <v>2516433.9108803072</v>
      </c>
    </row>
    <row r="411" spans="1:17">
      <c r="A411" s="91">
        <v>30713</v>
      </c>
      <c r="B411">
        <v>163.41000399999999</v>
      </c>
      <c r="C411">
        <v>164</v>
      </c>
      <c r="D411">
        <v>152.13000500000001</v>
      </c>
      <c r="E411">
        <v>157.05999800000001</v>
      </c>
      <c r="F411">
        <v>157.05999800000001</v>
      </c>
      <c r="G411">
        <v>1932810000</v>
      </c>
      <c r="H411" s="93">
        <f t="shared" si="23"/>
        <v>0.9907840352603422</v>
      </c>
      <c r="I411">
        <f t="shared" si="25"/>
        <v>1.1247161667906473</v>
      </c>
      <c r="J411">
        <f t="shared" si="24"/>
        <v>2.9129810409851017E-2</v>
      </c>
      <c r="K411" s="91">
        <v>30713</v>
      </c>
      <c r="Q411">
        <v>12574442.857516697</v>
      </c>
    </row>
    <row r="412" spans="1:17">
      <c r="A412" s="91">
        <v>30742</v>
      </c>
      <c r="B412">
        <v>157.05999800000001</v>
      </c>
      <c r="C412">
        <v>160.46000699999999</v>
      </c>
      <c r="D412">
        <v>153.770004</v>
      </c>
      <c r="E412">
        <v>159.179993</v>
      </c>
      <c r="F412">
        <v>159.179993</v>
      </c>
      <c r="G412">
        <v>1854920000</v>
      </c>
      <c r="H412" s="93">
        <f t="shared" si="23"/>
        <v>0.96114065329806875</v>
      </c>
      <c r="I412">
        <f t="shared" si="25"/>
        <v>1.0607144632606116</v>
      </c>
      <c r="J412">
        <f t="shared" si="24"/>
        <v>3.216915783898544E-2</v>
      </c>
      <c r="K412" s="91">
        <v>30742</v>
      </c>
      <c r="Q412">
        <v>6296494.3679184485</v>
      </c>
    </row>
    <row r="413" spans="1:17">
      <c r="A413" s="91">
        <v>30773</v>
      </c>
      <c r="B413">
        <v>159.179993</v>
      </c>
      <c r="C413">
        <v>160.69000199999999</v>
      </c>
      <c r="D413">
        <v>154.11999499999999</v>
      </c>
      <c r="E413">
        <v>160.050003</v>
      </c>
      <c r="F413">
        <v>160.050003</v>
      </c>
      <c r="G413">
        <v>1717530000</v>
      </c>
      <c r="H413" s="93">
        <f t="shared" si="23"/>
        <v>1.0134979945689289</v>
      </c>
      <c r="I413">
        <f t="shared" si="25"/>
        <v>1.0409364051914256</v>
      </c>
      <c r="J413">
        <f t="shared" si="24"/>
        <v>3.1143977262472769E-2</v>
      </c>
      <c r="K413" s="91">
        <v>30773</v>
      </c>
      <c r="Q413">
        <v>2935848.2354987781</v>
      </c>
    </row>
    <row r="414" spans="1:17">
      <c r="A414" s="91">
        <v>30803</v>
      </c>
      <c r="B414">
        <v>160.050003</v>
      </c>
      <c r="C414">
        <v>162.11000100000001</v>
      </c>
      <c r="D414">
        <v>148.679993</v>
      </c>
      <c r="E414">
        <v>150.550003</v>
      </c>
      <c r="F414">
        <v>150.550003</v>
      </c>
      <c r="G414">
        <v>1939550000</v>
      </c>
      <c r="H414" s="93">
        <f t="shared" si="23"/>
        <v>1.0054655738048688</v>
      </c>
      <c r="I414">
        <f t="shared" si="25"/>
        <v>0.97348092637963812</v>
      </c>
      <c r="J414">
        <f t="shared" si="24"/>
        <v>2.1693401215669317E-2</v>
      </c>
      <c r="K414" s="91">
        <v>30803</v>
      </c>
      <c r="Q414">
        <v>1569181.2840862323</v>
      </c>
    </row>
    <row r="415" spans="1:17">
      <c r="A415" s="91">
        <v>30834</v>
      </c>
      <c r="B415">
        <v>150.550003</v>
      </c>
      <c r="C415">
        <v>155.63999899999999</v>
      </c>
      <c r="D415">
        <v>148.529999</v>
      </c>
      <c r="E415">
        <v>153.179993</v>
      </c>
      <c r="F415">
        <v>153.179993</v>
      </c>
      <c r="G415">
        <v>1812870000</v>
      </c>
      <c r="H415" s="93">
        <f t="shared" si="23"/>
        <v>0.94064355000355737</v>
      </c>
      <c r="I415">
        <f t="shared" si="25"/>
        <v>0.92714619019749378</v>
      </c>
      <c r="J415">
        <f t="shared" si="24"/>
        <v>2.7258453662719593E-2</v>
      </c>
      <c r="K415" s="91">
        <v>30834</v>
      </c>
      <c r="Q415">
        <v>12171069.984873489</v>
      </c>
    </row>
    <row r="416" spans="1:17">
      <c r="A416" s="91">
        <v>30864</v>
      </c>
      <c r="B416">
        <v>153.16000399999999</v>
      </c>
      <c r="C416">
        <v>153.86999499999999</v>
      </c>
      <c r="D416">
        <v>147.259995</v>
      </c>
      <c r="E416">
        <v>150.66000399999999</v>
      </c>
      <c r="F416">
        <v>150.66000399999999</v>
      </c>
      <c r="G416">
        <v>1662200000</v>
      </c>
      <c r="H416" s="93">
        <f t="shared" si="23"/>
        <v>1.0173364393755606</v>
      </c>
      <c r="I416">
        <f t="shared" si="25"/>
        <v>0.91107015102569644</v>
      </c>
      <c r="J416">
        <f t="shared" si="24"/>
        <v>2.5205621745353454E-2</v>
      </c>
      <c r="K416" s="91">
        <v>30864</v>
      </c>
      <c r="Q416">
        <v>2341763.9406204429</v>
      </c>
    </row>
    <row r="417" spans="1:17">
      <c r="A417" s="91">
        <v>30895</v>
      </c>
      <c r="B417">
        <v>150.66000399999999</v>
      </c>
      <c r="C417">
        <v>168.800003</v>
      </c>
      <c r="D417">
        <v>150.66000399999999</v>
      </c>
      <c r="E417">
        <v>166.679993</v>
      </c>
      <c r="F417">
        <v>166.679993</v>
      </c>
      <c r="G417">
        <v>2526920000</v>
      </c>
      <c r="H417" s="93">
        <f t="shared" si="23"/>
        <v>0.98367720073969178</v>
      </c>
      <c r="I417">
        <f t="shared" si="25"/>
        <v>0.9280522835543249</v>
      </c>
      <c r="J417">
        <f t="shared" si="24"/>
        <v>2.3965041500077916E-2</v>
      </c>
      <c r="K417" s="91">
        <v>30895</v>
      </c>
      <c r="Q417">
        <v>17749930.135907184</v>
      </c>
    </row>
    <row r="418" spans="1:17">
      <c r="A418" s="91">
        <v>30926</v>
      </c>
      <c r="B418">
        <v>166.679993</v>
      </c>
      <c r="C418">
        <v>169.64999399999999</v>
      </c>
      <c r="D418">
        <v>163.05999800000001</v>
      </c>
      <c r="E418">
        <v>166.10000600000001</v>
      </c>
      <c r="F418">
        <v>166.10000600000001</v>
      </c>
      <c r="G418">
        <v>1768660000</v>
      </c>
      <c r="H418" s="93">
        <f t="shared" si="23"/>
        <v>1.106332062755023</v>
      </c>
      <c r="I418">
        <f t="shared" si="25"/>
        <v>1.0138686075621146</v>
      </c>
      <c r="J418">
        <f t="shared" si="24"/>
        <v>4.0275889967721495E-2</v>
      </c>
      <c r="K418" s="91">
        <v>30926</v>
      </c>
      <c r="Q418">
        <v>2166632.0509239985</v>
      </c>
    </row>
    <row r="419" spans="1:17">
      <c r="A419" s="91">
        <v>30956</v>
      </c>
      <c r="B419">
        <v>166.10000600000001</v>
      </c>
      <c r="C419">
        <v>169.61999499999999</v>
      </c>
      <c r="D419">
        <v>160.020004</v>
      </c>
      <c r="E419">
        <v>166.08999600000001</v>
      </c>
      <c r="F419">
        <v>166.08999600000001</v>
      </c>
      <c r="G419">
        <v>2110230000</v>
      </c>
      <c r="H419" s="93">
        <f t="shared" si="23"/>
        <v>0.99652035622535695</v>
      </c>
      <c r="I419">
        <f t="shared" si="25"/>
        <v>1.000662696528023</v>
      </c>
      <c r="J419">
        <f t="shared" si="24"/>
        <v>4.022318790895945E-2</v>
      </c>
      <c r="K419" s="91">
        <v>30956</v>
      </c>
      <c r="Q419">
        <v>1411753.2154034297</v>
      </c>
    </row>
    <row r="420" spans="1:17">
      <c r="A420" s="91">
        <v>30987</v>
      </c>
      <c r="B420">
        <v>166.08999600000001</v>
      </c>
      <c r="C420">
        <v>170.41000399999999</v>
      </c>
      <c r="D420">
        <v>162.990005</v>
      </c>
      <c r="E420">
        <v>163.58000200000001</v>
      </c>
      <c r="F420">
        <v>163.58000200000001</v>
      </c>
      <c r="G420">
        <v>1757280000</v>
      </c>
      <c r="H420" s="93">
        <f t="shared" si="23"/>
        <v>0.99993973510151468</v>
      </c>
      <c r="I420">
        <f t="shared" si="25"/>
        <v>1.0155303757469207</v>
      </c>
      <c r="J420">
        <f t="shared" si="24"/>
        <v>3.9932171722023423E-2</v>
      </c>
      <c r="K420" s="91">
        <v>30987</v>
      </c>
      <c r="Q420">
        <v>2571961.3673339444</v>
      </c>
    </row>
    <row r="421" spans="1:17">
      <c r="A421" s="91">
        <v>31017</v>
      </c>
      <c r="B421">
        <v>163.58000200000001</v>
      </c>
      <c r="C421">
        <v>169.029999</v>
      </c>
      <c r="D421">
        <v>161.53999300000001</v>
      </c>
      <c r="E421">
        <v>167.240005</v>
      </c>
      <c r="F421">
        <v>167.240005</v>
      </c>
      <c r="G421">
        <v>1781000000</v>
      </c>
      <c r="H421" s="93">
        <f t="shared" si="23"/>
        <v>0.98488774724276584</v>
      </c>
      <c r="I421">
        <f t="shared" si="25"/>
        <v>0.98323019123730826</v>
      </c>
      <c r="J421">
        <f t="shared" si="24"/>
        <v>3.9901262974774053E-2</v>
      </c>
      <c r="K421" s="91">
        <v>31017</v>
      </c>
      <c r="Q421">
        <v>15835756.471945457</v>
      </c>
    </row>
    <row r="422" spans="1:17">
      <c r="A422" s="91">
        <v>31048</v>
      </c>
      <c r="B422">
        <v>167.199997</v>
      </c>
      <c r="C422">
        <v>180.270004</v>
      </c>
      <c r="D422">
        <v>163.36000100000001</v>
      </c>
      <c r="E422">
        <v>179.63000500000001</v>
      </c>
      <c r="F422">
        <v>179.63000500000001</v>
      </c>
      <c r="G422">
        <v>2673710000</v>
      </c>
      <c r="H422" s="93">
        <f t="shared" si="23"/>
        <v>1.0221298138876413</v>
      </c>
      <c r="I422">
        <f t="shared" si="25"/>
        <v>1.0137634396188933</v>
      </c>
      <c r="J422">
        <f t="shared" si="24"/>
        <v>4.033079931868102E-2</v>
      </c>
      <c r="K422" s="91">
        <v>31048</v>
      </c>
      <c r="Q422">
        <v>952924.87293711351</v>
      </c>
    </row>
    <row r="423" spans="1:17">
      <c r="A423" s="91">
        <v>31079</v>
      </c>
      <c r="B423">
        <v>179.63000500000001</v>
      </c>
      <c r="C423">
        <v>183.949997</v>
      </c>
      <c r="D423">
        <v>177.75</v>
      </c>
      <c r="E423">
        <v>181.179993</v>
      </c>
      <c r="F423">
        <v>181.179993</v>
      </c>
      <c r="G423">
        <v>2194620000</v>
      </c>
      <c r="H423" s="93">
        <f t="shared" si="23"/>
        <v>1.0743421544439382</v>
      </c>
      <c r="I423">
        <f t="shared" si="25"/>
        <v>1.0992595349303096</v>
      </c>
      <c r="J423">
        <f t="shared" si="24"/>
        <v>4.5167338567737081E-2</v>
      </c>
      <c r="K423" s="91">
        <v>31079</v>
      </c>
      <c r="Q423">
        <v>1939499.2892587308</v>
      </c>
    </row>
    <row r="424" spans="1:17">
      <c r="A424" s="91">
        <v>31107</v>
      </c>
      <c r="B424">
        <v>181.179993</v>
      </c>
      <c r="C424">
        <v>183.88999899999999</v>
      </c>
      <c r="D424">
        <v>176.529999</v>
      </c>
      <c r="E424">
        <v>180.66000399999999</v>
      </c>
      <c r="F424">
        <v>180.66000399999999</v>
      </c>
      <c r="G424">
        <v>2153090000</v>
      </c>
      <c r="H424" s="93">
        <f t="shared" si="23"/>
        <v>1.0086287811437737</v>
      </c>
      <c r="I424">
        <f t="shared" si="25"/>
        <v>1.1535718534772934</v>
      </c>
      <c r="J424">
        <f t="shared" si="24"/>
        <v>4.2617946296632334E-2</v>
      </c>
      <c r="K424" s="91">
        <v>31107</v>
      </c>
      <c r="Q424">
        <v>2375620.8208882492</v>
      </c>
    </row>
    <row r="425" spans="1:17">
      <c r="A425" s="91">
        <v>31138</v>
      </c>
      <c r="B425">
        <v>180.66000399999999</v>
      </c>
      <c r="C425">
        <v>183.61000100000001</v>
      </c>
      <c r="D425">
        <v>177.86000100000001</v>
      </c>
      <c r="E425">
        <v>179.83000200000001</v>
      </c>
      <c r="F425">
        <v>179.83000200000001</v>
      </c>
      <c r="G425">
        <v>1981880000</v>
      </c>
      <c r="H425" s="93">
        <f t="shared" si="23"/>
        <v>0.99712998664261998</v>
      </c>
      <c r="I425">
        <f t="shared" si="25"/>
        <v>1.1349416506130892</v>
      </c>
      <c r="J425">
        <f t="shared" si="24"/>
        <v>4.285427442861784E-2</v>
      </c>
      <c r="K425" s="91">
        <v>31138</v>
      </c>
      <c r="Q425">
        <v>3303220.2234555911</v>
      </c>
    </row>
    <row r="426" spans="1:17">
      <c r="A426" s="91">
        <v>31168</v>
      </c>
      <c r="B426">
        <v>179.83000200000001</v>
      </c>
      <c r="C426">
        <v>189.979996</v>
      </c>
      <c r="D426">
        <v>178.35000600000001</v>
      </c>
      <c r="E426">
        <v>189.550003</v>
      </c>
      <c r="F426">
        <v>189.550003</v>
      </c>
      <c r="G426">
        <v>2350340000</v>
      </c>
      <c r="H426" s="93">
        <f t="shared" si="23"/>
        <v>0.99540572356015233</v>
      </c>
      <c r="I426">
        <f t="shared" si="25"/>
        <v>1.1235863706919142</v>
      </c>
      <c r="J426">
        <f t="shared" si="24"/>
        <v>4.3079139243558384E-2</v>
      </c>
      <c r="K426" s="91">
        <v>31168</v>
      </c>
      <c r="Q426">
        <v>3061105.5097927628</v>
      </c>
    </row>
    <row r="427" spans="1:17">
      <c r="A427" s="91">
        <v>31199</v>
      </c>
      <c r="B427">
        <v>189.550003</v>
      </c>
      <c r="C427">
        <v>191.85000600000001</v>
      </c>
      <c r="D427">
        <v>185.029999</v>
      </c>
      <c r="E427">
        <v>191.85000600000001</v>
      </c>
      <c r="F427">
        <v>191.85000600000001</v>
      </c>
      <c r="G427">
        <v>2117000000</v>
      </c>
      <c r="H427" s="93">
        <f t="shared" si="23"/>
        <v>1.0540510531718728</v>
      </c>
      <c r="I427">
        <f t="shared" si="25"/>
        <v>1.259050144289934</v>
      </c>
      <c r="J427">
        <f t="shared" si="24"/>
        <v>3.8542222533069131E-2</v>
      </c>
      <c r="K427" s="91">
        <v>31199</v>
      </c>
      <c r="Q427">
        <v>6855143.4754220424</v>
      </c>
    </row>
    <row r="428" spans="1:17">
      <c r="A428" s="91">
        <v>31229</v>
      </c>
      <c r="B428">
        <v>191.85000600000001</v>
      </c>
      <c r="C428">
        <v>196.070007</v>
      </c>
      <c r="D428">
        <v>189.300003</v>
      </c>
      <c r="E428">
        <v>190.91999799999999</v>
      </c>
      <c r="F428">
        <v>190.91999799999999</v>
      </c>
      <c r="G428">
        <v>2463070000</v>
      </c>
      <c r="H428" s="93">
        <f t="shared" si="23"/>
        <v>1.0121340172176099</v>
      </c>
      <c r="I428">
        <f t="shared" si="25"/>
        <v>1.2526116544107693</v>
      </c>
      <c r="J428">
        <f t="shared" si="24"/>
        <v>3.8604505381746264E-2</v>
      </c>
      <c r="K428" s="91">
        <v>31229</v>
      </c>
      <c r="Q428">
        <v>8295000.4147475353</v>
      </c>
    </row>
    <row r="429" spans="1:17">
      <c r="A429" s="91">
        <v>31260</v>
      </c>
      <c r="B429">
        <v>190.91999799999999</v>
      </c>
      <c r="C429">
        <v>192.16999799999999</v>
      </c>
      <c r="D429">
        <v>186.10000600000001</v>
      </c>
      <c r="E429">
        <v>188.63000500000001</v>
      </c>
      <c r="F429">
        <v>188.63000500000001</v>
      </c>
      <c r="G429">
        <v>1923200000</v>
      </c>
      <c r="H429" s="93">
        <f t="shared" si="23"/>
        <v>0.99515242131397164</v>
      </c>
      <c r="I429">
        <f t="shared" si="25"/>
        <v>1.2672241665412409</v>
      </c>
      <c r="J429">
        <f t="shared" si="24"/>
        <v>3.776685688248841E-2</v>
      </c>
      <c r="K429" s="91">
        <v>31260</v>
      </c>
      <c r="Q429">
        <v>9006960.6917990856</v>
      </c>
    </row>
    <row r="430" spans="1:17">
      <c r="A430" s="91">
        <v>31291</v>
      </c>
      <c r="B430">
        <v>188.63000500000001</v>
      </c>
      <c r="C430">
        <v>188.800003</v>
      </c>
      <c r="D430">
        <v>179.449997</v>
      </c>
      <c r="E430">
        <v>182.08000200000001</v>
      </c>
      <c r="F430">
        <v>182.08000200000001</v>
      </c>
      <c r="G430">
        <v>1860160000</v>
      </c>
      <c r="H430" s="93">
        <f t="shared" si="23"/>
        <v>0.98800548384669484</v>
      </c>
      <c r="I430">
        <f t="shared" si="25"/>
        <v>1.1316895423675715</v>
      </c>
      <c r="J430">
        <f t="shared" si="24"/>
        <v>2.7343888468721475E-2</v>
      </c>
      <c r="K430" s="91">
        <v>31291</v>
      </c>
      <c r="Q430">
        <v>9529655.285033606</v>
      </c>
    </row>
    <row r="431" spans="1:17">
      <c r="A431" s="91">
        <v>31321</v>
      </c>
      <c r="B431">
        <v>182.05999800000001</v>
      </c>
      <c r="C431">
        <v>190.14999399999999</v>
      </c>
      <c r="D431">
        <v>181.16000399999999</v>
      </c>
      <c r="E431">
        <v>189.820007</v>
      </c>
      <c r="F431">
        <v>189.820007</v>
      </c>
      <c r="G431">
        <v>2543240000</v>
      </c>
      <c r="H431" s="93">
        <f t="shared" si="23"/>
        <v>0.96516987315989311</v>
      </c>
      <c r="I431">
        <f t="shared" si="25"/>
        <v>1.0960866431275145</v>
      </c>
      <c r="J431">
        <f t="shared" si="24"/>
        <v>3.0172558808673495E-2</v>
      </c>
      <c r="K431" s="91">
        <v>31321</v>
      </c>
      <c r="Q431">
        <v>7917199.320939403</v>
      </c>
    </row>
    <row r="432" spans="1:17">
      <c r="A432" s="91">
        <v>31352</v>
      </c>
      <c r="B432">
        <v>189.820007</v>
      </c>
      <c r="C432">
        <v>203.39999399999999</v>
      </c>
      <c r="D432">
        <v>189.36999499999999</v>
      </c>
      <c r="E432">
        <v>202.16999799999999</v>
      </c>
      <c r="F432">
        <v>202.16999799999999</v>
      </c>
      <c r="G432">
        <v>2445370000</v>
      </c>
      <c r="H432" s="93">
        <f t="shared" si="23"/>
        <v>1.0426233608988615</v>
      </c>
      <c r="I432">
        <f t="shared" si="25"/>
        <v>1.1428744149045555</v>
      </c>
      <c r="J432">
        <f t="shared" si="24"/>
        <v>3.1607324310996346E-2</v>
      </c>
      <c r="K432" s="91">
        <v>31352</v>
      </c>
      <c r="Q432">
        <v>15554717.909264769</v>
      </c>
    </row>
    <row r="433" spans="1:17">
      <c r="A433" s="91">
        <v>31382</v>
      </c>
      <c r="B433">
        <v>202.16999799999999</v>
      </c>
      <c r="C433">
        <v>213.08000200000001</v>
      </c>
      <c r="D433">
        <v>200.10000600000001</v>
      </c>
      <c r="E433">
        <v>211.279999</v>
      </c>
      <c r="F433">
        <v>211.279999</v>
      </c>
      <c r="G433">
        <v>2804380000</v>
      </c>
      <c r="H433" s="93">
        <f t="shared" si="23"/>
        <v>1.0650615875280207</v>
      </c>
      <c r="I433">
        <f t="shared" si="25"/>
        <v>1.2359090079971999</v>
      </c>
      <c r="J433">
        <f t="shared" si="24"/>
        <v>3.3833876777430889E-2</v>
      </c>
      <c r="K433" s="91">
        <v>31382</v>
      </c>
      <c r="Q433">
        <v>638644.13820251147</v>
      </c>
    </row>
    <row r="434" spans="1:17">
      <c r="A434" s="91">
        <v>31413</v>
      </c>
      <c r="B434">
        <v>211.279999</v>
      </c>
      <c r="C434">
        <v>214.570007</v>
      </c>
      <c r="D434">
        <v>202.60000600000001</v>
      </c>
      <c r="E434">
        <v>211.779999</v>
      </c>
      <c r="F434">
        <v>211.779999</v>
      </c>
      <c r="G434">
        <v>2879010000</v>
      </c>
      <c r="H434" s="93">
        <f t="shared" si="23"/>
        <v>1.0450610925959449</v>
      </c>
      <c r="I434">
        <f t="shared" si="25"/>
        <v>1.2636363803284041</v>
      </c>
      <c r="J434">
        <f t="shared" si="24"/>
        <v>3.4705011953419053E-2</v>
      </c>
      <c r="K434" s="91">
        <v>31413</v>
      </c>
      <c r="Q434">
        <v>3208600.6749376114</v>
      </c>
    </row>
    <row r="435" spans="1:17">
      <c r="A435" s="91">
        <v>31444</v>
      </c>
      <c r="B435">
        <v>211.779999</v>
      </c>
      <c r="C435">
        <v>227.91999799999999</v>
      </c>
      <c r="D435">
        <v>210.820007</v>
      </c>
      <c r="E435">
        <v>226.91999799999999</v>
      </c>
      <c r="F435">
        <v>226.91999799999999</v>
      </c>
      <c r="G435">
        <v>2899100000</v>
      </c>
      <c r="H435" s="93">
        <f t="shared" si="23"/>
        <v>1.0023665278415681</v>
      </c>
      <c r="I435">
        <f t="shared" si="25"/>
        <v>1.1789789740305356</v>
      </c>
      <c r="J435">
        <f t="shared" si="24"/>
        <v>3.0463321635290908E-2</v>
      </c>
      <c r="K435" s="91">
        <v>31444</v>
      </c>
      <c r="Q435">
        <v>4760555.9283935921</v>
      </c>
    </row>
    <row r="436" spans="1:17">
      <c r="A436" s="91">
        <v>31472</v>
      </c>
      <c r="B436">
        <v>226.91999799999999</v>
      </c>
      <c r="C436">
        <v>240.11000100000001</v>
      </c>
      <c r="D436">
        <v>222.179993</v>
      </c>
      <c r="E436">
        <v>238.89999399999999</v>
      </c>
      <c r="F436">
        <v>238.89999399999999</v>
      </c>
      <c r="G436">
        <v>3214600000</v>
      </c>
      <c r="H436" s="93">
        <f t="shared" si="23"/>
        <v>1.0714892769453643</v>
      </c>
      <c r="I436">
        <f t="shared" si="25"/>
        <v>1.2524561583353191</v>
      </c>
      <c r="J436">
        <f t="shared" si="24"/>
        <v>3.4543522723013434E-2</v>
      </c>
      <c r="K436" s="91">
        <v>31472</v>
      </c>
      <c r="Q436">
        <v>5610147.0328721469</v>
      </c>
    </row>
    <row r="437" spans="1:17">
      <c r="A437" s="91">
        <v>31503</v>
      </c>
      <c r="B437">
        <v>238.89999399999999</v>
      </c>
      <c r="C437">
        <v>245.470001</v>
      </c>
      <c r="D437">
        <v>226.300003</v>
      </c>
      <c r="E437">
        <v>235.520004</v>
      </c>
      <c r="F437">
        <v>235.520004</v>
      </c>
      <c r="G437">
        <v>3240400000</v>
      </c>
      <c r="H437" s="93">
        <f t="shared" si="23"/>
        <v>1.0527939190269162</v>
      </c>
      <c r="I437">
        <f t="shared" si="25"/>
        <v>1.322373456827777</v>
      </c>
      <c r="J437">
        <f t="shared" si="24"/>
        <v>3.50050766756776E-2</v>
      </c>
      <c r="K437" s="91">
        <v>31503</v>
      </c>
      <c r="Q437">
        <v>2425751.054671932</v>
      </c>
    </row>
    <row r="438" spans="1:17">
      <c r="A438" s="91">
        <v>31533</v>
      </c>
      <c r="B438">
        <v>235.520004</v>
      </c>
      <c r="C438">
        <v>249.19000199999999</v>
      </c>
      <c r="D438">
        <v>232.259995</v>
      </c>
      <c r="E438">
        <v>247.35000600000001</v>
      </c>
      <c r="F438">
        <v>247.35000600000001</v>
      </c>
      <c r="G438">
        <v>2680240000</v>
      </c>
      <c r="H438" s="93">
        <f t="shared" si="23"/>
        <v>0.98585186234872824</v>
      </c>
      <c r="I438">
        <f t="shared" si="25"/>
        <v>1.3096813734117625</v>
      </c>
      <c r="J438">
        <f t="shared" si="24"/>
        <v>3.5816506557679713E-2</v>
      </c>
      <c r="K438" s="91">
        <v>31533</v>
      </c>
      <c r="Q438">
        <v>2744906.3857317353</v>
      </c>
    </row>
    <row r="439" spans="1:17">
      <c r="A439" s="91">
        <v>31564</v>
      </c>
      <c r="B439">
        <v>246.03999300000001</v>
      </c>
      <c r="C439">
        <v>251.80999800000001</v>
      </c>
      <c r="D439">
        <v>238.229996</v>
      </c>
      <c r="E439">
        <v>250.83999600000001</v>
      </c>
      <c r="F439">
        <v>250.83999600000001</v>
      </c>
      <c r="G439">
        <v>2649600000</v>
      </c>
      <c r="H439" s="93">
        <f t="shared" si="23"/>
        <v>1.0446670721014424</v>
      </c>
      <c r="I439">
        <f t="shared" si="25"/>
        <v>1.2980215727034308</v>
      </c>
      <c r="J439">
        <f t="shared" si="24"/>
        <v>3.5181194339083989E-2</v>
      </c>
      <c r="K439" s="91">
        <v>31564</v>
      </c>
      <c r="Q439">
        <v>2831920.4174454897</v>
      </c>
    </row>
    <row r="440" spans="1:17">
      <c r="A440" s="91">
        <v>31594</v>
      </c>
      <c r="B440">
        <v>250.66999799999999</v>
      </c>
      <c r="C440">
        <v>253.199997</v>
      </c>
      <c r="D440">
        <v>233.070007</v>
      </c>
      <c r="E440">
        <v>236.11999499999999</v>
      </c>
      <c r="F440">
        <v>236.11999499999999</v>
      </c>
      <c r="G440">
        <v>3029900000</v>
      </c>
      <c r="H440" s="93">
        <f t="shared" si="23"/>
        <v>1.0188180992185283</v>
      </c>
      <c r="I440">
        <f t="shared" si="25"/>
        <v>1.306593641701528</v>
      </c>
      <c r="J440">
        <f t="shared" si="24"/>
        <v>3.5054296949625814E-2</v>
      </c>
      <c r="K440" s="91">
        <v>31594</v>
      </c>
      <c r="Q440">
        <v>8826165.9233584236</v>
      </c>
    </row>
    <row r="441" spans="1:17">
      <c r="A441" s="91">
        <v>31625</v>
      </c>
      <c r="B441">
        <v>236.11999499999999</v>
      </c>
      <c r="C441">
        <v>254.240005</v>
      </c>
      <c r="D441">
        <v>231.91999799999999</v>
      </c>
      <c r="E441">
        <v>252.929993</v>
      </c>
      <c r="F441">
        <v>252.929993</v>
      </c>
      <c r="G441">
        <v>2701900000</v>
      </c>
      <c r="H441" s="93">
        <f t="shared" si="23"/>
        <v>0.94195554667056725</v>
      </c>
      <c r="I441">
        <f t="shared" si="25"/>
        <v>1.2367483630499514</v>
      </c>
      <c r="J441">
        <f t="shared" si="24"/>
        <v>4.1651295367656112E-2</v>
      </c>
      <c r="K441" s="91">
        <v>31625</v>
      </c>
      <c r="Q441">
        <v>6336166.1122499751</v>
      </c>
    </row>
    <row r="442" spans="1:17">
      <c r="A442" s="91">
        <v>31656</v>
      </c>
      <c r="B442">
        <v>252.929993</v>
      </c>
      <c r="C442">
        <v>254.13000500000001</v>
      </c>
      <c r="D442">
        <v>228.08000200000001</v>
      </c>
      <c r="E442">
        <v>231.320007</v>
      </c>
      <c r="F442">
        <v>231.320007</v>
      </c>
      <c r="G442">
        <v>3166300000</v>
      </c>
      <c r="H442" s="93">
        <f t="shared" si="23"/>
        <v>1.0711926069624049</v>
      </c>
      <c r="I442">
        <f t="shared" si="25"/>
        <v>1.3408788967587633</v>
      </c>
      <c r="J442">
        <f t="shared" si="24"/>
        <v>4.2987541167677862E-2</v>
      </c>
      <c r="K442" s="91">
        <v>31656</v>
      </c>
      <c r="Q442">
        <v>5171556.022142943</v>
      </c>
    </row>
    <row r="443" spans="1:17">
      <c r="A443" s="91">
        <v>31686</v>
      </c>
      <c r="B443">
        <v>231.320007</v>
      </c>
      <c r="C443">
        <v>244.509995</v>
      </c>
      <c r="D443">
        <v>231.320007</v>
      </c>
      <c r="E443">
        <v>243.979996</v>
      </c>
      <c r="F443">
        <v>243.979996</v>
      </c>
      <c r="G443">
        <v>3016740000</v>
      </c>
      <c r="H443" s="93">
        <f t="shared" si="23"/>
        <v>0.91456139406922776</v>
      </c>
      <c r="I443">
        <f t="shared" si="25"/>
        <v>1.2705701941180951</v>
      </c>
      <c r="J443">
        <f t="shared" si="24"/>
        <v>5.1159549301528141E-2</v>
      </c>
      <c r="K443" s="91">
        <v>31686</v>
      </c>
      <c r="Q443">
        <v>5191632.6532896096</v>
      </c>
    </row>
    <row r="444" spans="1:17">
      <c r="A444" s="91">
        <v>31717</v>
      </c>
      <c r="B444">
        <v>243.970001</v>
      </c>
      <c r="C444">
        <v>249.220001</v>
      </c>
      <c r="D444">
        <v>235.509995</v>
      </c>
      <c r="E444">
        <v>249.220001</v>
      </c>
      <c r="F444">
        <v>249.220001</v>
      </c>
      <c r="G444">
        <v>2940830000</v>
      </c>
      <c r="H444" s="93">
        <f t="shared" si="23"/>
        <v>1.0546861214646255</v>
      </c>
      <c r="I444">
        <f t="shared" si="25"/>
        <v>1.2852702139032162</v>
      </c>
      <c r="J444">
        <f t="shared" si="24"/>
        <v>5.1730439751491705E-2</v>
      </c>
      <c r="K444" s="91">
        <v>31717</v>
      </c>
      <c r="Q444">
        <v>3954812.6740938514</v>
      </c>
    </row>
    <row r="445" spans="1:17">
      <c r="A445" s="91">
        <v>31747</v>
      </c>
      <c r="B445">
        <v>249.220001</v>
      </c>
      <c r="C445">
        <v>254.86999499999999</v>
      </c>
      <c r="D445">
        <v>241.279999</v>
      </c>
      <c r="E445">
        <v>242.16999799999999</v>
      </c>
      <c r="F445">
        <v>242.16999799999999</v>
      </c>
      <c r="G445">
        <v>3260870000</v>
      </c>
      <c r="H445" s="93">
        <f t="shared" si="23"/>
        <v>1.0215190391379307</v>
      </c>
      <c r="I445">
        <f t="shared" si="25"/>
        <v>1.2327249516023639</v>
      </c>
      <c r="J445">
        <f t="shared" si="24"/>
        <v>4.9960940392151071E-2</v>
      </c>
      <c r="K445" s="91">
        <v>31747</v>
      </c>
      <c r="Q445">
        <v>1842997.656158743</v>
      </c>
    </row>
    <row r="446" spans="1:17">
      <c r="A446" s="91">
        <v>31778</v>
      </c>
      <c r="B446">
        <v>242.16999799999999</v>
      </c>
      <c r="C446">
        <v>280.959991</v>
      </c>
      <c r="D446">
        <v>242.16999799999999</v>
      </c>
      <c r="E446">
        <v>274.07998700000002</v>
      </c>
      <c r="F446">
        <v>274.07998700000002</v>
      </c>
      <c r="G446">
        <v>4040880000</v>
      </c>
      <c r="H446" s="93">
        <f t="shared" si="23"/>
        <v>0.97171172870671807</v>
      </c>
      <c r="I446">
        <f t="shared" si="25"/>
        <v>1.1462040853190272</v>
      </c>
      <c r="J446">
        <f t="shared" si="24"/>
        <v>5.0926484240290386E-2</v>
      </c>
      <c r="K446" s="91">
        <v>31778</v>
      </c>
      <c r="Q446">
        <v>3923784.2503354251</v>
      </c>
    </row>
    <row r="447" spans="1:17">
      <c r="A447" s="91">
        <v>31809</v>
      </c>
      <c r="B447">
        <v>274.07998700000002</v>
      </c>
      <c r="C447">
        <v>287.54998799999998</v>
      </c>
      <c r="D447">
        <v>273.16000400000001</v>
      </c>
      <c r="E447">
        <v>284.20001200000002</v>
      </c>
      <c r="F447">
        <v>284.20001200000002</v>
      </c>
      <c r="G447">
        <v>3485300000</v>
      </c>
      <c r="H447" s="93">
        <f t="shared" si="23"/>
        <v>1.1317668962445135</v>
      </c>
      <c r="I447">
        <f t="shared" si="25"/>
        <v>1.2941731433287995</v>
      </c>
      <c r="J447">
        <f t="shared" si="24"/>
        <v>6.1215207145191436E-2</v>
      </c>
      <c r="K447" s="91">
        <v>31809</v>
      </c>
      <c r="Q447">
        <v>1100238.3429268745</v>
      </c>
    </row>
    <row r="448" spans="1:17">
      <c r="A448" s="91">
        <v>31837</v>
      </c>
      <c r="B448">
        <v>284.17001299999998</v>
      </c>
      <c r="C448">
        <v>302.72000100000002</v>
      </c>
      <c r="D448">
        <v>282.29998799999998</v>
      </c>
      <c r="E448">
        <v>291.70001200000002</v>
      </c>
      <c r="F448">
        <v>291.70001200000002</v>
      </c>
      <c r="G448">
        <v>3965100000</v>
      </c>
      <c r="H448" s="93">
        <f t="shared" si="23"/>
        <v>1.0368141654939584</v>
      </c>
      <c r="I448">
        <f t="shared" si="25"/>
        <v>1.2522916248218898</v>
      </c>
      <c r="J448">
        <f t="shared" si="24"/>
        <v>5.953510499639441E-2</v>
      </c>
      <c r="K448" s="91">
        <v>31837</v>
      </c>
      <c r="Q448">
        <v>1481297.9819524158</v>
      </c>
    </row>
    <row r="449" spans="1:17">
      <c r="A449" s="91">
        <v>31868</v>
      </c>
      <c r="B449">
        <v>291.58999599999999</v>
      </c>
      <c r="C449">
        <v>303.64999399999999</v>
      </c>
      <c r="D449">
        <v>275.67001299999998</v>
      </c>
      <c r="E449">
        <v>288.35998499999999</v>
      </c>
      <c r="F449">
        <v>288.35998499999999</v>
      </c>
      <c r="G449">
        <v>3931700000</v>
      </c>
      <c r="H449" s="93">
        <f t="shared" si="23"/>
        <v>1.0261110696433688</v>
      </c>
      <c r="I449">
        <f t="shared" si="25"/>
        <v>1.220552546351257</v>
      </c>
      <c r="J449">
        <f t="shared" si="24"/>
        <v>5.8713074918234708E-2</v>
      </c>
      <c r="K449" s="91">
        <v>31868</v>
      </c>
      <c r="Q449">
        <v>2406661.0574356238</v>
      </c>
    </row>
    <row r="450" spans="1:17">
      <c r="A450" s="91">
        <v>31898</v>
      </c>
      <c r="B450">
        <v>286.98998999999998</v>
      </c>
      <c r="C450">
        <v>298.69000199999999</v>
      </c>
      <c r="D450">
        <v>277.01001000000002</v>
      </c>
      <c r="E450">
        <v>290.10000600000001</v>
      </c>
      <c r="F450">
        <v>290.10000600000001</v>
      </c>
      <c r="G450">
        <v>3417700000</v>
      </c>
      <c r="H450" s="93">
        <f t="shared" si="23"/>
        <v>0.9842244039126774</v>
      </c>
      <c r="I450">
        <f t="shared" si="25"/>
        <v>1.2185376406498363</v>
      </c>
      <c r="J450">
        <f t="shared" si="24"/>
        <v>5.8796672605937537E-2</v>
      </c>
      <c r="K450" s="91">
        <v>31898</v>
      </c>
      <c r="Q450">
        <v>3510831.2673647357</v>
      </c>
    </row>
    <row r="451" spans="1:17">
      <c r="A451" s="91">
        <v>31929</v>
      </c>
      <c r="B451">
        <v>290.11999500000002</v>
      </c>
      <c r="C451">
        <v>310.26998900000001</v>
      </c>
      <c r="D451">
        <v>286.92999300000002</v>
      </c>
      <c r="E451">
        <v>304</v>
      </c>
      <c r="F451">
        <v>304</v>
      </c>
      <c r="G451">
        <v>3595000000</v>
      </c>
      <c r="H451" s="93">
        <f t="shared" si="23"/>
        <v>1.010906321157752</v>
      </c>
      <c r="I451">
        <f t="shared" si="25"/>
        <v>1.1791578737364052</v>
      </c>
      <c r="J451">
        <f t="shared" si="24"/>
        <v>5.8218360844140053E-2</v>
      </c>
      <c r="K451" s="91">
        <v>31929</v>
      </c>
      <c r="Q451">
        <v>1151383.1445707148</v>
      </c>
    </row>
    <row r="452" spans="1:17">
      <c r="A452" s="91">
        <v>31959</v>
      </c>
      <c r="B452">
        <v>303.98998999999998</v>
      </c>
      <c r="C452">
        <v>318.85000600000001</v>
      </c>
      <c r="D452">
        <v>302.52999899999998</v>
      </c>
      <c r="E452">
        <v>318.66000400000001</v>
      </c>
      <c r="F452">
        <v>318.66000400000001</v>
      </c>
      <c r="G452">
        <v>3966400000</v>
      </c>
      <c r="H452" s="93">
        <f t="shared" ref="H452:H515" si="26">B452/B451</f>
        <v>1.0478077872571312</v>
      </c>
      <c r="I452">
        <f t="shared" si="25"/>
        <v>1.2127099071505159</v>
      </c>
      <c r="J452">
        <f t="shared" si="24"/>
        <v>5.897169895812323E-2</v>
      </c>
      <c r="K452" s="91">
        <v>31959</v>
      </c>
      <c r="Q452">
        <v>4068887.5765303895</v>
      </c>
    </row>
    <row r="453" spans="1:17">
      <c r="A453" s="91">
        <v>31990</v>
      </c>
      <c r="B453">
        <v>318.61999500000002</v>
      </c>
      <c r="C453">
        <v>337.89001500000001</v>
      </c>
      <c r="D453">
        <v>314.51001000000002</v>
      </c>
      <c r="E453">
        <v>329.79998799999998</v>
      </c>
      <c r="F453">
        <v>329.79998799999998</v>
      </c>
      <c r="G453">
        <v>4062400000</v>
      </c>
      <c r="H453" s="93">
        <f t="shared" si="26"/>
        <v>1.0481266011423602</v>
      </c>
      <c r="I453">
        <f t="shared" si="25"/>
        <v>1.349398618274577</v>
      </c>
      <c r="J453">
        <f t="shared" si="24"/>
        <v>5.4345950737365277E-2</v>
      </c>
      <c r="K453" s="91">
        <v>31990</v>
      </c>
      <c r="Q453">
        <v>6267518.6855546115</v>
      </c>
    </row>
    <row r="454" spans="1:17">
      <c r="A454" s="91">
        <v>32021</v>
      </c>
      <c r="B454">
        <v>329.80999800000001</v>
      </c>
      <c r="C454">
        <v>332.17999300000002</v>
      </c>
      <c r="D454">
        <v>308.55999800000001</v>
      </c>
      <c r="E454">
        <v>321.82998700000002</v>
      </c>
      <c r="F454">
        <v>321.82998700000002</v>
      </c>
      <c r="G454">
        <v>3723200000</v>
      </c>
      <c r="H454" s="93">
        <f t="shared" si="26"/>
        <v>1.0351202158546264</v>
      </c>
      <c r="I454">
        <f t="shared" si="25"/>
        <v>1.3039576449124404</v>
      </c>
      <c r="J454">
        <f t="shared" si="24"/>
        <v>5.2626761460334022E-2</v>
      </c>
      <c r="K454" s="91">
        <v>32021</v>
      </c>
      <c r="Q454">
        <v>3059038.8263046318</v>
      </c>
    </row>
    <row r="455" spans="1:17">
      <c r="A455" s="91">
        <v>32051</v>
      </c>
      <c r="B455">
        <v>321.82998700000002</v>
      </c>
      <c r="C455">
        <v>328.94000199999999</v>
      </c>
      <c r="D455">
        <v>216.46000699999999</v>
      </c>
      <c r="E455">
        <v>251.78999300000001</v>
      </c>
      <c r="F455">
        <v>251.78999300000001</v>
      </c>
      <c r="G455">
        <v>6094500000</v>
      </c>
      <c r="H455" s="93">
        <f t="shared" si="26"/>
        <v>0.97580421743309309</v>
      </c>
      <c r="I455">
        <f t="shared" si="25"/>
        <v>1.391276055944439</v>
      </c>
      <c r="J455">
        <f t="shared" si="24"/>
        <v>4.3218481773963327E-2</v>
      </c>
      <c r="K455" s="91">
        <v>32051</v>
      </c>
      <c r="Q455">
        <v>2012893.2599380496</v>
      </c>
    </row>
    <row r="456" spans="1:17">
      <c r="A456" s="91">
        <v>32082</v>
      </c>
      <c r="B456">
        <v>251.729996</v>
      </c>
      <c r="C456">
        <v>257.209991</v>
      </c>
      <c r="D456">
        <v>225.75</v>
      </c>
      <c r="E456">
        <v>230.300003</v>
      </c>
      <c r="F456">
        <v>230.300003</v>
      </c>
      <c r="G456">
        <v>3589530000</v>
      </c>
      <c r="H456" s="93">
        <f t="shared" si="26"/>
        <v>0.78218315933375093</v>
      </c>
      <c r="I456">
        <f t="shared" si="25"/>
        <v>1.0318071687838375</v>
      </c>
      <c r="J456">
        <f t="shared" si="24"/>
        <v>8.2275781294647493E-2</v>
      </c>
      <c r="K456" s="91">
        <v>32082</v>
      </c>
      <c r="Q456">
        <v>6186620.5075519038</v>
      </c>
    </row>
    <row r="457" spans="1:17">
      <c r="A457" s="91">
        <v>32112</v>
      </c>
      <c r="B457">
        <v>230.320007</v>
      </c>
      <c r="C457">
        <v>253.35000600000001</v>
      </c>
      <c r="D457">
        <v>221.240005</v>
      </c>
      <c r="E457">
        <v>247.08000200000001</v>
      </c>
      <c r="F457">
        <v>247.08000200000001</v>
      </c>
      <c r="G457">
        <v>3926750000</v>
      </c>
      <c r="H457" s="93">
        <f t="shared" si="26"/>
        <v>0.91494859833867392</v>
      </c>
      <c r="I457">
        <f t="shared" si="25"/>
        <v>0.92416341415551162</v>
      </c>
      <c r="J457">
        <f t="shared" si="24"/>
        <v>8.6111514968541816E-2</v>
      </c>
      <c r="K457" s="91">
        <v>32112</v>
      </c>
      <c r="Q457">
        <v>1662202.8530197795</v>
      </c>
    </row>
    <row r="458" spans="1:17">
      <c r="A458" s="91">
        <v>32143</v>
      </c>
      <c r="B458">
        <v>247.10000600000001</v>
      </c>
      <c r="C458">
        <v>261.77999899999998</v>
      </c>
      <c r="D458">
        <v>240.16999799999999</v>
      </c>
      <c r="E458">
        <v>257.07000699999998</v>
      </c>
      <c r="F458">
        <v>257.07000699999998</v>
      </c>
      <c r="G458">
        <v>3494700000</v>
      </c>
      <c r="H458" s="93">
        <f t="shared" si="26"/>
        <v>1.0728551514849511</v>
      </c>
      <c r="I458">
        <f t="shared" si="25"/>
        <v>1.0203576332358066</v>
      </c>
      <c r="J458">
        <f t="shared" si="24"/>
        <v>8.8319369368868056E-2</v>
      </c>
      <c r="K458" s="91">
        <v>32143</v>
      </c>
      <c r="Q458">
        <v>3334413.9640461081</v>
      </c>
    </row>
    <row r="459" spans="1:17">
      <c r="A459" s="91">
        <v>32174</v>
      </c>
      <c r="B459">
        <v>257.04998799999998</v>
      </c>
      <c r="C459">
        <v>267.82000699999998</v>
      </c>
      <c r="D459">
        <v>247.820007</v>
      </c>
      <c r="E459">
        <v>267.82000699999998</v>
      </c>
      <c r="F459">
        <v>267.82000699999998</v>
      </c>
      <c r="G459">
        <v>3693240000</v>
      </c>
      <c r="H459" s="93">
        <f t="shared" si="26"/>
        <v>1.0402670245180001</v>
      </c>
      <c r="I459">
        <f t="shared" si="25"/>
        <v>0.93786485767747785</v>
      </c>
      <c r="J459">
        <f t="shared" si="24"/>
        <v>7.9989401779591018E-2</v>
      </c>
      <c r="K459" s="91">
        <v>32174</v>
      </c>
      <c r="Q459">
        <v>1656103.4429048982</v>
      </c>
    </row>
    <row r="460" spans="1:17">
      <c r="A460" s="91">
        <v>32203</v>
      </c>
      <c r="B460">
        <v>267.82000699999998</v>
      </c>
      <c r="C460">
        <v>272.64001500000001</v>
      </c>
      <c r="D460">
        <v>256.07000699999998</v>
      </c>
      <c r="E460">
        <v>258.89001500000001</v>
      </c>
      <c r="F460">
        <v>258.89001500000001</v>
      </c>
      <c r="G460">
        <v>4052970000</v>
      </c>
      <c r="H460" s="93">
        <f t="shared" si="26"/>
        <v>1.0418985392055338</v>
      </c>
      <c r="I460">
        <f t="shared" si="25"/>
        <v>0.94246399953537674</v>
      </c>
      <c r="J460">
        <f t="shared" si="24"/>
        <v>8.022720058898232E-2</v>
      </c>
      <c r="K460" s="91">
        <v>32203</v>
      </c>
      <c r="Q460">
        <v>1324762.0792303551</v>
      </c>
    </row>
    <row r="461" spans="1:17">
      <c r="A461" s="91">
        <v>32234</v>
      </c>
      <c r="B461">
        <v>258.89001500000001</v>
      </c>
      <c r="C461">
        <v>272.04998799999998</v>
      </c>
      <c r="D461">
        <v>254.71000699999999</v>
      </c>
      <c r="E461">
        <v>261.32998700000002</v>
      </c>
      <c r="F461">
        <v>261.32998700000002</v>
      </c>
      <c r="G461">
        <v>3260760000</v>
      </c>
      <c r="H461" s="93">
        <f t="shared" si="26"/>
        <v>0.96665674047271621</v>
      </c>
      <c r="I461">
        <f t="shared" si="25"/>
        <v>0.88785630011806038</v>
      </c>
      <c r="J461">
        <f t="shared" si="24"/>
        <v>8.0193053728520286E-2</v>
      </c>
      <c r="K461" s="91">
        <v>32234</v>
      </c>
      <c r="Q461">
        <v>1235675.3228692459</v>
      </c>
    </row>
    <row r="462" spans="1:17">
      <c r="A462" s="91">
        <v>32264</v>
      </c>
      <c r="B462">
        <v>261.35998499999999</v>
      </c>
      <c r="C462">
        <v>263.70001200000002</v>
      </c>
      <c r="D462">
        <v>248.85000600000001</v>
      </c>
      <c r="E462">
        <v>262.16000400000001</v>
      </c>
      <c r="F462">
        <v>262.16000400000001</v>
      </c>
      <c r="G462">
        <v>3231370000</v>
      </c>
      <c r="H462" s="93">
        <f t="shared" si="26"/>
        <v>1.009540615152732</v>
      </c>
      <c r="I462">
        <f t="shared" si="25"/>
        <v>0.91069373186151903</v>
      </c>
      <c r="J462">
        <f t="shared" si="24"/>
        <v>8.0262698481145409E-2</v>
      </c>
      <c r="K462" s="91">
        <v>32264</v>
      </c>
      <c r="Q462">
        <v>1499926.8756245514</v>
      </c>
    </row>
    <row r="463" spans="1:17">
      <c r="A463" s="91">
        <v>32295</v>
      </c>
      <c r="B463">
        <v>262.16000400000001</v>
      </c>
      <c r="C463">
        <v>276.88000499999998</v>
      </c>
      <c r="D463">
        <v>262.10000600000001</v>
      </c>
      <c r="E463">
        <v>273.5</v>
      </c>
      <c r="F463">
        <v>273.5</v>
      </c>
      <c r="G463">
        <v>4306710000</v>
      </c>
      <c r="H463" s="93">
        <f t="shared" si="26"/>
        <v>1.0030609850241612</v>
      </c>
      <c r="I463">
        <f t="shared" si="25"/>
        <v>0.90362611511833235</v>
      </c>
      <c r="J463">
        <f t="shared" ref="J463:J526" si="27">_xlfn.STDEV.S(H452:H463)</f>
        <v>8.0157766837642475E-2</v>
      </c>
      <c r="K463" s="91">
        <v>32295</v>
      </c>
      <c r="Q463">
        <v>3481425.6504376023</v>
      </c>
    </row>
    <row r="464" spans="1:17">
      <c r="A464" s="91">
        <v>32325</v>
      </c>
      <c r="B464">
        <v>273.5</v>
      </c>
      <c r="C464">
        <v>276.35998499999999</v>
      </c>
      <c r="D464">
        <v>262.48001099999999</v>
      </c>
      <c r="E464">
        <v>272.01998900000001</v>
      </c>
      <c r="F464">
        <v>272.01998900000001</v>
      </c>
      <c r="G464">
        <v>3338470000</v>
      </c>
      <c r="H464" s="93">
        <f t="shared" si="26"/>
        <v>1.0432560109359779</v>
      </c>
      <c r="I464">
        <f t="shared" ref="I464:I527" si="28">B464/B452</f>
        <v>0.89970067764402384</v>
      </c>
      <c r="J464">
        <f t="shared" si="27"/>
        <v>7.9894751428262037E-2</v>
      </c>
      <c r="K464" s="91">
        <v>32325</v>
      </c>
      <c r="Q464">
        <v>3751298.4444945347</v>
      </c>
    </row>
    <row r="465" spans="1:17">
      <c r="A465" s="91">
        <v>32356</v>
      </c>
      <c r="B465">
        <v>272.02999899999998</v>
      </c>
      <c r="C465">
        <v>274.20001200000002</v>
      </c>
      <c r="D465">
        <v>256.52999899999998</v>
      </c>
      <c r="E465">
        <v>261.51998900000001</v>
      </c>
      <c r="F465">
        <v>261.51998900000001</v>
      </c>
      <c r="G465">
        <v>3327470000</v>
      </c>
      <c r="H465" s="93">
        <f t="shared" si="26"/>
        <v>0.9946252248628884</v>
      </c>
      <c r="I465">
        <f t="shared" si="28"/>
        <v>0.85377566778255698</v>
      </c>
      <c r="J465">
        <f t="shared" si="27"/>
        <v>7.8101355340701589E-2</v>
      </c>
      <c r="K465" s="91">
        <v>32356</v>
      </c>
      <c r="Q465">
        <v>3933486.0746877552</v>
      </c>
    </row>
    <row r="466" spans="1:17">
      <c r="A466" s="91">
        <v>32387</v>
      </c>
      <c r="B466">
        <v>261.51998900000001</v>
      </c>
      <c r="C466">
        <v>274.86999500000002</v>
      </c>
      <c r="D466">
        <v>256.98001099999999</v>
      </c>
      <c r="E466">
        <v>271.91000400000001</v>
      </c>
      <c r="F466">
        <v>271.91000400000001</v>
      </c>
      <c r="G466">
        <v>3059450000</v>
      </c>
      <c r="H466" s="93">
        <f t="shared" si="26"/>
        <v>0.96136451847724347</v>
      </c>
      <c r="I466">
        <f t="shared" si="28"/>
        <v>0.79294136195349663</v>
      </c>
      <c r="J466">
        <f t="shared" si="27"/>
        <v>7.7125359339845004E-2</v>
      </c>
      <c r="K466" s="91">
        <v>32387</v>
      </c>
      <c r="Q466">
        <v>3080439.3665794362</v>
      </c>
    </row>
    <row r="467" spans="1:17">
      <c r="A467" s="91">
        <v>32417</v>
      </c>
      <c r="B467">
        <v>271.89001500000001</v>
      </c>
      <c r="C467">
        <v>283.95001200000002</v>
      </c>
      <c r="D467">
        <v>268.83999599999999</v>
      </c>
      <c r="E467">
        <v>278.97000100000002</v>
      </c>
      <c r="F467">
        <v>278.97000100000002</v>
      </c>
      <c r="G467">
        <v>3415160000</v>
      </c>
      <c r="H467" s="93">
        <f t="shared" si="26"/>
        <v>1.0396529001077619</v>
      </c>
      <c r="I467">
        <f t="shared" si="28"/>
        <v>0.8448249882942076</v>
      </c>
      <c r="J467">
        <f t="shared" si="27"/>
        <v>7.8704432304060129E-2</v>
      </c>
      <c r="K467" s="91">
        <v>32417</v>
      </c>
      <c r="Q467">
        <v>924843.19872974872</v>
      </c>
    </row>
    <row r="468" spans="1:17">
      <c r="A468" s="91">
        <v>32448</v>
      </c>
      <c r="B468">
        <v>278.97000100000002</v>
      </c>
      <c r="C468">
        <v>280.36999500000002</v>
      </c>
      <c r="D468">
        <v>262.85000600000001</v>
      </c>
      <c r="E468">
        <v>273.70001200000002</v>
      </c>
      <c r="F468">
        <v>273.70001200000002</v>
      </c>
      <c r="G468">
        <v>2822820000</v>
      </c>
      <c r="H468" s="93">
        <f t="shared" si="26"/>
        <v>1.0260398896958389</v>
      </c>
      <c r="I468">
        <f t="shared" si="28"/>
        <v>1.1082112002258167</v>
      </c>
      <c r="J468">
        <f t="shared" si="27"/>
        <v>4.44027437643955E-2</v>
      </c>
      <c r="K468" s="91">
        <v>32448</v>
      </c>
      <c r="Q468">
        <v>3078887.1531715021</v>
      </c>
    </row>
    <row r="469" spans="1:17">
      <c r="A469" s="91">
        <v>32478</v>
      </c>
      <c r="B469">
        <v>273.67999300000002</v>
      </c>
      <c r="C469">
        <v>280.45001200000002</v>
      </c>
      <c r="D469">
        <v>270.47000100000002</v>
      </c>
      <c r="E469">
        <v>277.72000100000002</v>
      </c>
      <c r="F469">
        <v>277.72000100000002</v>
      </c>
      <c r="G469">
        <v>2844900000</v>
      </c>
      <c r="H469" s="93">
        <f t="shared" si="26"/>
        <v>0.98103735892376476</v>
      </c>
      <c r="I469">
        <f t="shared" si="28"/>
        <v>1.1882597459281947</v>
      </c>
      <c r="J469">
        <f t="shared" si="27"/>
        <v>3.4630500101563939E-2</v>
      </c>
      <c r="K469" s="91">
        <v>32478</v>
      </c>
      <c r="Q469">
        <v>4069425.4917556145</v>
      </c>
    </row>
    <row r="470" spans="1:17">
      <c r="A470" s="91">
        <v>32509</v>
      </c>
      <c r="B470">
        <v>277.72000100000002</v>
      </c>
      <c r="C470">
        <v>297.51001000000002</v>
      </c>
      <c r="D470">
        <v>273.80999800000001</v>
      </c>
      <c r="E470">
        <v>297.47000100000002</v>
      </c>
      <c r="F470">
        <v>297.47000100000002</v>
      </c>
      <c r="G470">
        <v>3532220000</v>
      </c>
      <c r="H470" s="93">
        <f t="shared" si="26"/>
        <v>1.0147617951744101</v>
      </c>
      <c r="I470">
        <f t="shared" si="28"/>
        <v>1.1239174190873957</v>
      </c>
      <c r="J470">
        <f t="shared" si="27"/>
        <v>2.9489685660183212E-2</v>
      </c>
      <c r="K470" s="91">
        <v>32509</v>
      </c>
      <c r="Q470">
        <v>2192469.9068079805</v>
      </c>
    </row>
    <row r="471" spans="1:17">
      <c r="A471" s="91">
        <v>32540</v>
      </c>
      <c r="B471">
        <v>297.47000100000002</v>
      </c>
      <c r="C471">
        <v>300.57000699999998</v>
      </c>
      <c r="D471">
        <v>286.26001000000002</v>
      </c>
      <c r="E471">
        <v>288.85998499999999</v>
      </c>
      <c r="F471">
        <v>288.85998499999999</v>
      </c>
      <c r="G471">
        <v>3216280000</v>
      </c>
      <c r="H471" s="93">
        <f t="shared" si="26"/>
        <v>1.0711147916206438</v>
      </c>
      <c r="I471">
        <f t="shared" si="28"/>
        <v>1.1572457299628431</v>
      </c>
      <c r="J471">
        <f t="shared" si="27"/>
        <v>3.3431843804812782E-2</v>
      </c>
      <c r="K471" s="91">
        <v>32540</v>
      </c>
      <c r="Q471">
        <v>6719095.3527654381</v>
      </c>
    </row>
    <row r="472" spans="1:17">
      <c r="A472" s="91">
        <v>32568</v>
      </c>
      <c r="B472">
        <v>288.85998499999999</v>
      </c>
      <c r="C472">
        <v>299.98998999999998</v>
      </c>
      <c r="D472">
        <v>286.459991</v>
      </c>
      <c r="E472">
        <v>294.86999500000002</v>
      </c>
      <c r="F472">
        <v>294.86999500000002</v>
      </c>
      <c r="G472">
        <v>3504530000</v>
      </c>
      <c r="H472" s="93">
        <f t="shared" si="26"/>
        <v>0.97105585110748682</v>
      </c>
      <c r="I472">
        <f t="shared" si="28"/>
        <v>1.0785601428200995</v>
      </c>
      <c r="J472">
        <f t="shared" si="27"/>
        <v>3.406574052582375E-2</v>
      </c>
      <c r="K472" s="91">
        <v>32568</v>
      </c>
      <c r="Q472">
        <v>2175861.5524698086</v>
      </c>
    </row>
    <row r="473" spans="1:17">
      <c r="A473" s="91">
        <v>32599</v>
      </c>
      <c r="B473">
        <v>294.86999500000002</v>
      </c>
      <c r="C473">
        <v>310.45001200000002</v>
      </c>
      <c r="D473">
        <v>294.35000600000001</v>
      </c>
      <c r="E473">
        <v>309.64001500000001</v>
      </c>
      <c r="F473">
        <v>309.64001500000001</v>
      </c>
      <c r="G473">
        <v>3237250000</v>
      </c>
      <c r="H473" s="93">
        <f t="shared" si="26"/>
        <v>1.020805962445785</v>
      </c>
      <c r="I473">
        <f t="shared" si="28"/>
        <v>1.1389778589954502</v>
      </c>
      <c r="J473">
        <f t="shared" si="27"/>
        <v>3.1766832432791339E-2</v>
      </c>
      <c r="K473" s="91">
        <v>32599</v>
      </c>
      <c r="Q473">
        <v>3241795.3941727057</v>
      </c>
    </row>
    <row r="474" spans="1:17">
      <c r="A474" s="91">
        <v>32629</v>
      </c>
      <c r="B474">
        <v>309.64001500000001</v>
      </c>
      <c r="C474">
        <v>323.05999800000001</v>
      </c>
      <c r="D474">
        <v>304.05999800000001</v>
      </c>
      <c r="E474">
        <v>320.51998900000001</v>
      </c>
      <c r="F474">
        <v>320.51998900000001</v>
      </c>
      <c r="G474">
        <v>3747320000</v>
      </c>
      <c r="H474" s="93">
        <f t="shared" si="26"/>
        <v>1.0500899387881089</v>
      </c>
      <c r="I474">
        <f t="shared" si="28"/>
        <v>1.1847261737484414</v>
      </c>
      <c r="J474">
        <f t="shared" si="27"/>
        <v>3.3656220708044422E-2</v>
      </c>
      <c r="K474" s="91">
        <v>32629</v>
      </c>
      <c r="Q474">
        <v>6294579.8691852512</v>
      </c>
    </row>
    <row r="475" spans="1:17">
      <c r="A475" s="91">
        <v>32660</v>
      </c>
      <c r="B475">
        <v>320.51001000000002</v>
      </c>
      <c r="C475">
        <v>329.19000199999999</v>
      </c>
      <c r="D475">
        <v>314.38000499999998</v>
      </c>
      <c r="E475">
        <v>317.98001099999999</v>
      </c>
      <c r="F475">
        <v>317.98001099999999</v>
      </c>
      <c r="G475">
        <v>3966590000</v>
      </c>
      <c r="H475" s="93">
        <f t="shared" si="26"/>
        <v>1.035105265706695</v>
      </c>
      <c r="I475">
        <f t="shared" si="28"/>
        <v>1.2225740201010982</v>
      </c>
      <c r="J475">
        <f t="shared" si="27"/>
        <v>3.3915680215719939E-2</v>
      </c>
      <c r="K475" s="91">
        <v>32660</v>
      </c>
      <c r="Q475">
        <v>2478064.3292699773</v>
      </c>
    </row>
    <row r="476" spans="1:17">
      <c r="A476" s="91">
        <v>32690</v>
      </c>
      <c r="B476">
        <v>317.98001099999999</v>
      </c>
      <c r="C476">
        <v>346.07998700000002</v>
      </c>
      <c r="D476">
        <v>317.26001000000002</v>
      </c>
      <c r="E476">
        <v>346.07998700000002</v>
      </c>
      <c r="F476">
        <v>346.07998700000002</v>
      </c>
      <c r="G476">
        <v>3249030000</v>
      </c>
      <c r="H476" s="93">
        <f t="shared" si="26"/>
        <v>0.99210633390202063</v>
      </c>
      <c r="I476">
        <f t="shared" si="28"/>
        <v>1.1626325813528335</v>
      </c>
      <c r="J476">
        <f t="shared" si="27"/>
        <v>3.358456447316506E-2</v>
      </c>
      <c r="K476" s="91">
        <v>32690</v>
      </c>
      <c r="Q476">
        <v>2839814.5742099946</v>
      </c>
    </row>
    <row r="477" spans="1:17">
      <c r="A477" s="91">
        <v>32721</v>
      </c>
      <c r="B477">
        <v>346.07998700000002</v>
      </c>
      <c r="C477">
        <v>352.73001099999999</v>
      </c>
      <c r="D477">
        <v>339</v>
      </c>
      <c r="E477">
        <v>351.45001200000002</v>
      </c>
      <c r="F477">
        <v>351.45001200000002</v>
      </c>
      <c r="G477">
        <v>3949100000</v>
      </c>
      <c r="H477" s="93">
        <f t="shared" si="26"/>
        <v>1.0883702592236215</v>
      </c>
      <c r="I477">
        <f t="shared" si="28"/>
        <v>1.2722125804955799</v>
      </c>
      <c r="J477">
        <f t="shared" si="27"/>
        <v>3.9301117384680853E-2</v>
      </c>
      <c r="K477" s="91">
        <v>32721</v>
      </c>
      <c r="Q477">
        <v>3948668.4870427442</v>
      </c>
    </row>
    <row r="478" spans="1:17">
      <c r="A478" s="91">
        <v>32752</v>
      </c>
      <c r="B478">
        <v>351.45001200000002</v>
      </c>
      <c r="C478">
        <v>354.13000499999998</v>
      </c>
      <c r="D478">
        <v>341.36999500000002</v>
      </c>
      <c r="E478">
        <v>349.14999399999999</v>
      </c>
      <c r="F478">
        <v>349.14999399999999</v>
      </c>
      <c r="G478">
        <v>3035020000</v>
      </c>
      <c r="H478" s="93">
        <f t="shared" si="26"/>
        <v>1.0155167163711203</v>
      </c>
      <c r="I478">
        <f t="shared" si="28"/>
        <v>1.3438743758894851</v>
      </c>
      <c r="J478">
        <f t="shared" si="27"/>
        <v>3.4672662678285483E-2</v>
      </c>
      <c r="K478" s="91">
        <v>32752</v>
      </c>
      <c r="Q478">
        <v>11633277.120643781</v>
      </c>
    </row>
    <row r="479" spans="1:17">
      <c r="A479" s="91">
        <v>32782</v>
      </c>
      <c r="B479">
        <v>349.14999399999999</v>
      </c>
      <c r="C479">
        <v>360.44000199999999</v>
      </c>
      <c r="D479">
        <v>327.11999500000002</v>
      </c>
      <c r="E479">
        <v>340.35998499999999</v>
      </c>
      <c r="F479">
        <v>340.35998499999999</v>
      </c>
      <c r="G479">
        <v>4012670000</v>
      </c>
      <c r="H479" s="93">
        <f t="shared" si="26"/>
        <v>0.99345563260359193</v>
      </c>
      <c r="I479">
        <f t="shared" si="28"/>
        <v>1.2841589419898336</v>
      </c>
      <c r="J479">
        <f t="shared" si="27"/>
        <v>3.5509507550145307E-2</v>
      </c>
      <c r="K479" s="91">
        <v>32782</v>
      </c>
      <c r="Q479">
        <v>2715774.2056646245</v>
      </c>
    </row>
    <row r="480" spans="1:17">
      <c r="A480" s="91">
        <v>32813</v>
      </c>
      <c r="B480">
        <v>340.35998499999999</v>
      </c>
      <c r="C480">
        <v>346.5</v>
      </c>
      <c r="D480">
        <v>330.91000400000001</v>
      </c>
      <c r="E480">
        <v>345.98998999999998</v>
      </c>
      <c r="F480">
        <v>345.98998999999998</v>
      </c>
      <c r="G480">
        <v>3032160000</v>
      </c>
      <c r="H480" s="93">
        <f t="shared" si="26"/>
        <v>0.97482454775582783</v>
      </c>
      <c r="I480">
        <f t="shared" si="28"/>
        <v>1.2200594464635643</v>
      </c>
      <c r="J480">
        <f t="shared" si="27"/>
        <v>3.7925812772167687E-2</v>
      </c>
      <c r="K480" s="91">
        <v>32813</v>
      </c>
      <c r="Q480">
        <v>3015216.7632199032</v>
      </c>
    </row>
    <row r="481" spans="1:17">
      <c r="A481" s="91">
        <v>32843</v>
      </c>
      <c r="B481">
        <v>346.01001000000002</v>
      </c>
      <c r="C481">
        <v>354.10000600000001</v>
      </c>
      <c r="D481">
        <v>339.63000499999998</v>
      </c>
      <c r="E481">
        <v>353.39999399999999</v>
      </c>
      <c r="F481">
        <v>353.39999399999999</v>
      </c>
      <c r="G481">
        <v>3213420000</v>
      </c>
      <c r="H481" s="93">
        <f t="shared" si="26"/>
        <v>1.016600144696798</v>
      </c>
      <c r="I481">
        <f t="shared" si="28"/>
        <v>1.2642868271339074</v>
      </c>
      <c r="J481">
        <f t="shared" si="27"/>
        <v>3.6179273666003112E-2</v>
      </c>
      <c r="K481" s="91">
        <v>32843</v>
      </c>
      <c r="Q481">
        <v>7216121.7511508679</v>
      </c>
    </row>
    <row r="482" spans="1:17">
      <c r="A482" s="91">
        <v>32874</v>
      </c>
      <c r="B482">
        <v>353.39999399999999</v>
      </c>
      <c r="C482">
        <v>360.58999599999999</v>
      </c>
      <c r="D482">
        <v>319.82998700000002</v>
      </c>
      <c r="E482">
        <v>329.07998700000002</v>
      </c>
      <c r="F482">
        <v>329.07998700000002</v>
      </c>
      <c r="G482">
        <v>3793250000</v>
      </c>
      <c r="H482" s="93">
        <f t="shared" si="26"/>
        <v>1.0213577173677719</v>
      </c>
      <c r="I482">
        <f t="shared" si="28"/>
        <v>1.2725046547871788</v>
      </c>
      <c r="J482">
        <f t="shared" si="27"/>
        <v>3.6137278646909014E-2</v>
      </c>
      <c r="K482" s="91">
        <v>32874</v>
      </c>
      <c r="Q482">
        <v>2578644.3767252746</v>
      </c>
    </row>
    <row r="483" spans="1:17">
      <c r="A483" s="91">
        <v>32905</v>
      </c>
      <c r="B483">
        <v>329.07998700000002</v>
      </c>
      <c r="C483">
        <v>336.08999599999999</v>
      </c>
      <c r="D483">
        <v>322.10000600000001</v>
      </c>
      <c r="E483">
        <v>331.89001500000001</v>
      </c>
      <c r="F483">
        <v>331.89001500000001</v>
      </c>
      <c r="G483">
        <v>2961970000</v>
      </c>
      <c r="H483" s="93">
        <f t="shared" si="26"/>
        <v>0.9311827747229674</v>
      </c>
      <c r="I483">
        <f t="shared" si="28"/>
        <v>1.1062627689976712</v>
      </c>
      <c r="J483">
        <f t="shared" si="27"/>
        <v>4.0733708053133859E-2</v>
      </c>
      <c r="K483" s="91">
        <v>32905</v>
      </c>
      <c r="Q483">
        <v>2392836.8116628397</v>
      </c>
    </row>
    <row r="484" spans="1:17">
      <c r="A484" s="91">
        <v>32933</v>
      </c>
      <c r="B484">
        <v>331.89001500000001</v>
      </c>
      <c r="C484">
        <v>344.48998999999998</v>
      </c>
      <c r="D484">
        <v>331.07998700000002</v>
      </c>
      <c r="E484">
        <v>339.94000199999999</v>
      </c>
      <c r="F484">
        <v>339.94000199999999</v>
      </c>
      <c r="G484">
        <v>3283280000</v>
      </c>
      <c r="H484" s="93">
        <f t="shared" si="26"/>
        <v>1.0085390425155207</v>
      </c>
      <c r="I484">
        <f t="shared" si="28"/>
        <v>1.1489650080816836</v>
      </c>
      <c r="J484">
        <f t="shared" si="27"/>
        <v>3.893995206438014E-2</v>
      </c>
      <c r="K484" s="91">
        <v>32933</v>
      </c>
      <c r="Q484">
        <v>1247956.8507725536</v>
      </c>
    </row>
    <row r="485" spans="1:17">
      <c r="A485" s="91">
        <v>32964</v>
      </c>
      <c r="B485">
        <v>339.94000199999999</v>
      </c>
      <c r="C485">
        <v>347.29998799999998</v>
      </c>
      <c r="D485">
        <v>327.76001000000002</v>
      </c>
      <c r="E485">
        <v>330.79998799999998</v>
      </c>
      <c r="F485">
        <v>330.79998799999998</v>
      </c>
      <c r="G485">
        <v>2801220000</v>
      </c>
      <c r="H485" s="93">
        <f t="shared" si="26"/>
        <v>1.024254983989199</v>
      </c>
      <c r="I485">
        <f t="shared" si="28"/>
        <v>1.1528470436607154</v>
      </c>
      <c r="J485">
        <f t="shared" si="27"/>
        <v>3.902084965019046E-2</v>
      </c>
      <c r="K485" s="91">
        <v>32964</v>
      </c>
      <c r="Q485">
        <v>6652292.4457111731</v>
      </c>
    </row>
    <row r="486" spans="1:17">
      <c r="A486" s="91">
        <v>32994</v>
      </c>
      <c r="B486">
        <v>330.79998799999998</v>
      </c>
      <c r="C486">
        <v>362.26001000000002</v>
      </c>
      <c r="D486">
        <v>330.79998799999998</v>
      </c>
      <c r="E486">
        <v>361.23001099999999</v>
      </c>
      <c r="F486">
        <v>361.23001099999999</v>
      </c>
      <c r="G486">
        <v>3596680000</v>
      </c>
      <c r="H486" s="93">
        <f t="shared" si="26"/>
        <v>0.97311286125132157</v>
      </c>
      <c r="I486">
        <f t="shared" si="28"/>
        <v>1.0683373335968867</v>
      </c>
      <c r="J486">
        <f t="shared" si="27"/>
        <v>3.8625771156614773E-2</v>
      </c>
      <c r="K486" s="91">
        <v>32994</v>
      </c>
      <c r="Q486">
        <v>2830047.7369106566</v>
      </c>
    </row>
    <row r="487" spans="1:17">
      <c r="A487" s="91">
        <v>33025</v>
      </c>
      <c r="B487">
        <v>361.26001000000002</v>
      </c>
      <c r="C487">
        <v>368.77999899999998</v>
      </c>
      <c r="D487">
        <v>351.23001099999999</v>
      </c>
      <c r="E487">
        <v>358.01998900000001</v>
      </c>
      <c r="F487">
        <v>358.01998900000001</v>
      </c>
      <c r="G487">
        <v>3226280000</v>
      </c>
      <c r="H487" s="93">
        <f t="shared" si="26"/>
        <v>1.0920798763753281</v>
      </c>
      <c r="I487">
        <f t="shared" si="28"/>
        <v>1.1271411148750081</v>
      </c>
      <c r="J487">
        <f t="shared" si="27"/>
        <v>4.5407781219107962E-2</v>
      </c>
      <c r="K487" s="91">
        <v>33025</v>
      </c>
      <c r="Q487">
        <v>4162184.5238690022</v>
      </c>
    </row>
    <row r="488" spans="1:17">
      <c r="A488" s="91">
        <v>33055</v>
      </c>
      <c r="B488">
        <v>358.01998900000001</v>
      </c>
      <c r="C488">
        <v>369.77999899999998</v>
      </c>
      <c r="D488">
        <v>350.08999599999999</v>
      </c>
      <c r="E488">
        <v>356.14999399999999</v>
      </c>
      <c r="F488">
        <v>356.14999399999999</v>
      </c>
      <c r="G488">
        <v>3373540000</v>
      </c>
      <c r="H488" s="93">
        <f t="shared" si="26"/>
        <v>0.99103133225291107</v>
      </c>
      <c r="I488">
        <f t="shared" si="28"/>
        <v>1.1259197956314304</v>
      </c>
      <c r="J488">
        <f t="shared" si="27"/>
        <v>4.5449378411282576E-2</v>
      </c>
      <c r="K488" s="91">
        <v>33055</v>
      </c>
      <c r="Q488">
        <v>7713677.7135952227</v>
      </c>
    </row>
    <row r="489" spans="1:17">
      <c r="A489" s="91">
        <v>33086</v>
      </c>
      <c r="B489">
        <v>356.14999399999999</v>
      </c>
      <c r="C489">
        <v>357.35000600000001</v>
      </c>
      <c r="D489">
        <v>306.17999300000002</v>
      </c>
      <c r="E489">
        <v>322.55999800000001</v>
      </c>
      <c r="F489">
        <v>322.55999800000001</v>
      </c>
      <c r="G489">
        <v>4020730000</v>
      </c>
      <c r="H489" s="93">
        <f t="shared" si="26"/>
        <v>0.99477684191538251</v>
      </c>
      <c r="I489">
        <f t="shared" si="28"/>
        <v>1.0290973398586032</v>
      </c>
      <c r="J489">
        <f t="shared" si="27"/>
        <v>3.8427083508945345E-2</v>
      </c>
      <c r="K489" s="91">
        <v>33086</v>
      </c>
      <c r="Q489">
        <v>19161094.423200414</v>
      </c>
    </row>
    <row r="490" spans="1:17">
      <c r="A490" s="91">
        <v>33117</v>
      </c>
      <c r="B490">
        <v>322.55999800000001</v>
      </c>
      <c r="C490">
        <v>326.52999899999998</v>
      </c>
      <c r="D490">
        <v>295.98001099999999</v>
      </c>
      <c r="E490">
        <v>306.04998799999998</v>
      </c>
      <c r="F490">
        <v>306.04998799999998</v>
      </c>
      <c r="G490">
        <v>2687280000</v>
      </c>
      <c r="H490" s="93">
        <f t="shared" si="26"/>
        <v>0.90568581618451471</v>
      </c>
      <c r="I490">
        <f t="shared" si="28"/>
        <v>0.91779765823425263</v>
      </c>
      <c r="J490">
        <f t="shared" si="27"/>
        <v>4.7256171173269662E-2</v>
      </c>
      <c r="K490" s="91">
        <v>33117</v>
      </c>
      <c r="Q490">
        <v>7514476.4637247752</v>
      </c>
    </row>
    <row r="491" spans="1:17">
      <c r="A491" s="91">
        <v>33147</v>
      </c>
      <c r="B491">
        <v>306.10000600000001</v>
      </c>
      <c r="C491">
        <v>319.69000199999999</v>
      </c>
      <c r="D491">
        <v>294.51001000000002</v>
      </c>
      <c r="E491">
        <v>304</v>
      </c>
      <c r="F491">
        <v>304</v>
      </c>
      <c r="G491">
        <v>3671900000</v>
      </c>
      <c r="H491" s="93">
        <f t="shared" si="26"/>
        <v>0.94897075861216984</v>
      </c>
      <c r="I491">
        <f t="shared" si="28"/>
        <v>0.87670059074954476</v>
      </c>
      <c r="J491">
        <f t="shared" si="27"/>
        <v>4.9007315336930278E-2</v>
      </c>
      <c r="K491" s="91">
        <v>33147</v>
      </c>
      <c r="Q491">
        <v>4855665.597792374</v>
      </c>
    </row>
    <row r="492" spans="1:17">
      <c r="A492" s="91">
        <v>33178</v>
      </c>
      <c r="B492">
        <v>303.98998999999998</v>
      </c>
      <c r="C492">
        <v>323.01998900000001</v>
      </c>
      <c r="D492">
        <v>301.60998499999999</v>
      </c>
      <c r="E492">
        <v>322.22000100000002</v>
      </c>
      <c r="F492">
        <v>322.22000100000002</v>
      </c>
      <c r="G492">
        <v>3149770000</v>
      </c>
      <c r="H492" s="93">
        <f t="shared" si="26"/>
        <v>0.99310677569865835</v>
      </c>
      <c r="I492">
        <f t="shared" si="28"/>
        <v>0.89314256492284183</v>
      </c>
      <c r="J492">
        <f t="shared" si="27"/>
        <v>4.8769427024452465E-2</v>
      </c>
      <c r="K492" s="91">
        <v>33178</v>
      </c>
      <c r="Q492">
        <v>9218681.9543051776</v>
      </c>
    </row>
    <row r="493" spans="1:17">
      <c r="A493" s="91">
        <v>33208</v>
      </c>
      <c r="B493">
        <v>322.23001099999999</v>
      </c>
      <c r="C493">
        <v>333.98001099999999</v>
      </c>
      <c r="D493">
        <v>321.97000100000002</v>
      </c>
      <c r="E493">
        <v>330.22000100000002</v>
      </c>
      <c r="F493">
        <v>330.22000100000002</v>
      </c>
      <c r="G493">
        <v>3116830000</v>
      </c>
      <c r="H493" s="93">
        <f t="shared" si="26"/>
        <v>1.0600020448041727</v>
      </c>
      <c r="I493">
        <f t="shared" si="28"/>
        <v>0.93127366748724982</v>
      </c>
      <c r="J493">
        <f t="shared" si="27"/>
        <v>5.2265963070840728E-2</v>
      </c>
      <c r="K493" s="91">
        <v>33208</v>
      </c>
      <c r="Q493">
        <v>6637280.7569831097</v>
      </c>
    </row>
    <row r="494" spans="1:17">
      <c r="A494" s="91">
        <v>33239</v>
      </c>
      <c r="B494">
        <v>330.20001200000002</v>
      </c>
      <c r="C494">
        <v>343.92999300000002</v>
      </c>
      <c r="D494">
        <v>309.35000600000001</v>
      </c>
      <c r="E494">
        <v>343.92999300000002</v>
      </c>
      <c r="F494">
        <v>343.92999300000002</v>
      </c>
      <c r="G494">
        <v>3660240000</v>
      </c>
      <c r="H494" s="93">
        <f t="shared" si="26"/>
        <v>1.0247338879928227</v>
      </c>
      <c r="I494">
        <f t="shared" si="28"/>
        <v>0.93435205887411543</v>
      </c>
      <c r="J494">
        <f t="shared" si="27"/>
        <v>5.2427575405070731E-2</v>
      </c>
      <c r="K494" s="91">
        <v>33239</v>
      </c>
      <c r="Q494">
        <v>3902411.3324333197</v>
      </c>
    </row>
    <row r="495" spans="1:17">
      <c r="A495" s="91">
        <v>33270</v>
      </c>
      <c r="B495">
        <v>343.91000400000001</v>
      </c>
      <c r="C495">
        <v>370.959991</v>
      </c>
      <c r="D495">
        <v>340.36999500000002</v>
      </c>
      <c r="E495">
        <v>367.07000699999998</v>
      </c>
      <c r="F495">
        <v>367.07000699999998</v>
      </c>
      <c r="G495">
        <v>4303170000</v>
      </c>
      <c r="H495" s="93">
        <f t="shared" si="26"/>
        <v>1.041520264996235</v>
      </c>
      <c r="I495">
        <f t="shared" si="28"/>
        <v>1.0450650832194179</v>
      </c>
      <c r="J495">
        <f t="shared" si="27"/>
        <v>4.9703324493997968E-2</v>
      </c>
      <c r="K495" s="91">
        <v>33270</v>
      </c>
      <c r="Q495">
        <v>3747530.7234263518</v>
      </c>
    </row>
    <row r="496" spans="1:17">
      <c r="A496" s="91">
        <v>33298</v>
      </c>
      <c r="B496">
        <v>367.07000699999998</v>
      </c>
      <c r="C496">
        <v>379.66000400000001</v>
      </c>
      <c r="D496">
        <v>363.73001099999999</v>
      </c>
      <c r="E496">
        <v>375.22000100000002</v>
      </c>
      <c r="F496">
        <v>375.22000100000002</v>
      </c>
      <c r="G496">
        <v>3927920000</v>
      </c>
      <c r="H496" s="93">
        <f t="shared" si="26"/>
        <v>1.0673432081958278</v>
      </c>
      <c r="I496">
        <f t="shared" si="28"/>
        <v>1.1059989466691247</v>
      </c>
      <c r="J496">
        <f t="shared" si="27"/>
        <v>5.2899591537531557E-2</v>
      </c>
      <c r="K496" s="91">
        <v>33298</v>
      </c>
      <c r="Q496">
        <v>4771570.321742191</v>
      </c>
    </row>
    <row r="497" spans="1:17">
      <c r="A497" s="91">
        <v>33329</v>
      </c>
      <c r="B497">
        <v>375.22000100000002</v>
      </c>
      <c r="C497">
        <v>391.26001000000002</v>
      </c>
      <c r="D497">
        <v>370.26998900000001</v>
      </c>
      <c r="E497">
        <v>375.33999599999999</v>
      </c>
      <c r="F497">
        <v>375.33999599999999</v>
      </c>
      <c r="G497">
        <v>4017200000</v>
      </c>
      <c r="H497" s="93">
        <f t="shared" si="26"/>
        <v>1.0222028328236583</v>
      </c>
      <c r="I497">
        <f t="shared" si="28"/>
        <v>1.1037830169807437</v>
      </c>
      <c r="J497">
        <f t="shared" si="27"/>
        <v>5.2851620551217893E-2</v>
      </c>
      <c r="K497" s="91">
        <v>33329</v>
      </c>
      <c r="Q497">
        <v>2239359.6446816758</v>
      </c>
    </row>
    <row r="498" spans="1:17">
      <c r="A498" s="91">
        <v>33359</v>
      </c>
      <c r="B498">
        <v>375.35000600000001</v>
      </c>
      <c r="C498">
        <v>389.85000600000001</v>
      </c>
      <c r="D498">
        <v>365.82998700000002</v>
      </c>
      <c r="E498">
        <v>389.82998700000002</v>
      </c>
      <c r="F498">
        <v>389.82998700000002</v>
      </c>
      <c r="G498">
        <v>3739700000</v>
      </c>
      <c r="H498" s="93">
        <f t="shared" si="26"/>
        <v>1.0003464767327261</v>
      </c>
      <c r="I498">
        <f t="shared" si="28"/>
        <v>1.1346735780413633</v>
      </c>
      <c r="J498">
        <f t="shared" si="27"/>
        <v>5.1717429571043354E-2</v>
      </c>
      <c r="K498" s="91">
        <v>33359</v>
      </c>
      <c r="Q498">
        <v>1696695.7582099701</v>
      </c>
    </row>
    <row r="499" spans="1:17">
      <c r="A499" s="91">
        <v>33390</v>
      </c>
      <c r="B499">
        <v>389.80999800000001</v>
      </c>
      <c r="C499">
        <v>389.80999800000001</v>
      </c>
      <c r="D499">
        <v>367.98001099999999</v>
      </c>
      <c r="E499">
        <v>371.16000400000001</v>
      </c>
      <c r="F499">
        <v>371.16000400000001</v>
      </c>
      <c r="G499">
        <v>3258730000</v>
      </c>
      <c r="H499" s="93">
        <f t="shared" si="26"/>
        <v>1.0385240222961392</v>
      </c>
      <c r="I499">
        <f t="shared" si="28"/>
        <v>1.0790289188111355</v>
      </c>
      <c r="J499">
        <f t="shared" si="27"/>
        <v>4.617525868696909E-2</v>
      </c>
      <c r="K499" s="91">
        <v>33390</v>
      </c>
      <c r="Q499">
        <v>6290609.9091209145</v>
      </c>
    </row>
    <row r="500" spans="1:17">
      <c r="A500" s="91">
        <v>33420</v>
      </c>
      <c r="B500">
        <v>371.17999300000002</v>
      </c>
      <c r="C500">
        <v>387.80999800000001</v>
      </c>
      <c r="D500">
        <v>370.92001299999998</v>
      </c>
      <c r="E500">
        <v>387.80999800000001</v>
      </c>
      <c r="F500">
        <v>387.80999800000001</v>
      </c>
      <c r="G500">
        <v>3481570000</v>
      </c>
      <c r="H500" s="93">
        <f t="shared" si="26"/>
        <v>0.95220747262618954</v>
      </c>
      <c r="I500">
        <f t="shared" si="28"/>
        <v>1.0367577353341575</v>
      </c>
      <c r="J500">
        <f t="shared" si="27"/>
        <v>4.8713240504442729E-2</v>
      </c>
      <c r="K500" s="91">
        <v>33420</v>
      </c>
      <c r="Q500">
        <v>1522520.4202582035</v>
      </c>
    </row>
    <row r="501" spans="1:17">
      <c r="A501" s="91">
        <v>33451</v>
      </c>
      <c r="B501">
        <v>387.80999800000001</v>
      </c>
      <c r="C501">
        <v>396.82000699999998</v>
      </c>
      <c r="D501">
        <v>374.08999599999999</v>
      </c>
      <c r="E501">
        <v>395.42999300000002</v>
      </c>
      <c r="F501">
        <v>395.42999300000002</v>
      </c>
      <c r="G501">
        <v>3713820000</v>
      </c>
      <c r="H501" s="93">
        <f t="shared" si="26"/>
        <v>1.0448030748252102</v>
      </c>
      <c r="I501">
        <f t="shared" si="28"/>
        <v>1.0888951411859353</v>
      </c>
      <c r="J501">
        <f t="shared" si="27"/>
        <v>4.9965631074938135E-2</v>
      </c>
      <c r="K501" s="91">
        <v>33451</v>
      </c>
      <c r="Q501">
        <v>2831052.7602076028</v>
      </c>
    </row>
    <row r="502" spans="1:17">
      <c r="A502" s="91">
        <v>33482</v>
      </c>
      <c r="B502">
        <v>395.42999300000002</v>
      </c>
      <c r="C502">
        <v>397.61999500000002</v>
      </c>
      <c r="D502">
        <v>382.76998900000001</v>
      </c>
      <c r="E502">
        <v>387.85998499999999</v>
      </c>
      <c r="F502">
        <v>387.85998499999999</v>
      </c>
      <c r="G502">
        <v>3260990000</v>
      </c>
      <c r="H502" s="93">
        <f t="shared" si="26"/>
        <v>1.0196487842997797</v>
      </c>
      <c r="I502">
        <f t="shared" si="28"/>
        <v>1.2259114442330818</v>
      </c>
      <c r="J502">
        <f t="shared" si="27"/>
        <v>3.8116982406844441E-2</v>
      </c>
      <c r="K502" s="91">
        <v>33482</v>
      </c>
      <c r="Q502">
        <v>2525506.932079724</v>
      </c>
    </row>
    <row r="503" spans="1:17">
      <c r="A503" s="91">
        <v>33512</v>
      </c>
      <c r="B503">
        <v>387.85998499999999</v>
      </c>
      <c r="C503">
        <v>393.80999800000001</v>
      </c>
      <c r="D503">
        <v>376.10998499999999</v>
      </c>
      <c r="E503">
        <v>392.45001200000002</v>
      </c>
      <c r="F503">
        <v>392.45001200000002</v>
      </c>
      <c r="G503">
        <v>4082380000</v>
      </c>
      <c r="H503" s="93">
        <f t="shared" si="26"/>
        <v>0.98085626246363156</v>
      </c>
      <c r="I503">
        <f t="shared" si="28"/>
        <v>1.2671021803246878</v>
      </c>
      <c r="J503">
        <f t="shared" si="27"/>
        <v>3.3744509495343897E-2</v>
      </c>
      <c r="K503" s="91">
        <v>33512</v>
      </c>
      <c r="Q503">
        <v>2769048.6737869862</v>
      </c>
    </row>
    <row r="504" spans="1:17">
      <c r="A504" s="91">
        <v>33543</v>
      </c>
      <c r="B504">
        <v>392.459991</v>
      </c>
      <c r="C504">
        <v>398.22000100000002</v>
      </c>
      <c r="D504">
        <v>371.63000499999998</v>
      </c>
      <c r="E504">
        <v>375.22000100000002</v>
      </c>
      <c r="F504">
        <v>375.22000100000002</v>
      </c>
      <c r="G504">
        <v>3737620000</v>
      </c>
      <c r="H504" s="93">
        <f t="shared" si="26"/>
        <v>1.0118599653944709</v>
      </c>
      <c r="I504">
        <f t="shared" si="28"/>
        <v>1.2910293230379066</v>
      </c>
      <c r="J504">
        <f t="shared" si="27"/>
        <v>3.2784099404778257E-2</v>
      </c>
      <c r="K504" s="91">
        <v>33543</v>
      </c>
      <c r="Q504">
        <v>8823199.3009192459</v>
      </c>
    </row>
    <row r="505" spans="1:17">
      <c r="A505" s="91">
        <v>33573</v>
      </c>
      <c r="B505">
        <v>375.10998499999999</v>
      </c>
      <c r="C505">
        <v>418.32000699999998</v>
      </c>
      <c r="D505">
        <v>371.35998499999999</v>
      </c>
      <c r="E505">
        <v>417.08999599999999</v>
      </c>
      <c r="F505">
        <v>417.08999599999999</v>
      </c>
      <c r="G505">
        <v>4155310000</v>
      </c>
      <c r="H505" s="93">
        <f t="shared" si="26"/>
        <v>0.95579165673476252</v>
      </c>
      <c r="I505">
        <f t="shared" si="28"/>
        <v>1.1641062973491938</v>
      </c>
      <c r="J505">
        <f t="shared" si="27"/>
        <v>3.5493934592111719E-2</v>
      </c>
      <c r="K505" s="91">
        <v>33573</v>
      </c>
      <c r="Q505">
        <v>4440370.2495280271</v>
      </c>
    </row>
    <row r="506" spans="1:17">
      <c r="A506" s="91">
        <v>33604</v>
      </c>
      <c r="B506">
        <v>417.02999899999998</v>
      </c>
      <c r="C506">
        <v>421.17999300000002</v>
      </c>
      <c r="D506">
        <v>408.64001500000001</v>
      </c>
      <c r="E506">
        <v>408.77999899999998</v>
      </c>
      <c r="F506">
        <v>408.77999899999998</v>
      </c>
      <c r="G506">
        <v>5286280000</v>
      </c>
      <c r="H506" s="93">
        <f t="shared" si="26"/>
        <v>1.1117539273181438</v>
      </c>
      <c r="I506">
        <f t="shared" si="28"/>
        <v>1.262961792381764</v>
      </c>
      <c r="J506">
        <f t="shared" si="27"/>
        <v>4.5513199131032044E-2</v>
      </c>
      <c r="K506" s="91">
        <v>33604</v>
      </c>
      <c r="Q506">
        <v>12708707.883751445</v>
      </c>
    </row>
    <row r="507" spans="1:17">
      <c r="A507" s="91">
        <v>33635</v>
      </c>
      <c r="B507">
        <v>408.790009</v>
      </c>
      <c r="C507">
        <v>418.07998700000002</v>
      </c>
      <c r="D507">
        <v>406.33999599999999</v>
      </c>
      <c r="E507">
        <v>412.70001200000002</v>
      </c>
      <c r="F507">
        <v>412.70001200000002</v>
      </c>
      <c r="G507">
        <v>4267610000</v>
      </c>
      <c r="H507" s="93">
        <f t="shared" si="26"/>
        <v>0.98024125357945779</v>
      </c>
      <c r="I507">
        <f t="shared" si="28"/>
        <v>1.1886540206605911</v>
      </c>
      <c r="J507">
        <f t="shared" si="27"/>
        <v>4.6378595481765622E-2</v>
      </c>
      <c r="K507" s="91">
        <v>33635</v>
      </c>
      <c r="Q507">
        <v>680560.667716383</v>
      </c>
    </row>
    <row r="508" spans="1:17">
      <c r="A508" s="91">
        <v>33664</v>
      </c>
      <c r="B508">
        <v>412.67999300000002</v>
      </c>
      <c r="C508">
        <v>413.77999899999998</v>
      </c>
      <c r="D508">
        <v>401.94000199999999</v>
      </c>
      <c r="E508">
        <v>403.69000199999999</v>
      </c>
      <c r="F508">
        <v>403.69000199999999</v>
      </c>
      <c r="G508">
        <v>4066240000</v>
      </c>
      <c r="H508" s="93">
        <f t="shared" si="26"/>
        <v>1.0095158490040299</v>
      </c>
      <c r="I508">
        <f t="shared" si="28"/>
        <v>1.1242541889291435</v>
      </c>
      <c r="J508">
        <f t="shared" si="27"/>
        <v>4.3407249102620761E-2</v>
      </c>
      <c r="K508" s="91">
        <v>33664</v>
      </c>
      <c r="Q508">
        <v>1628863.4497604589</v>
      </c>
    </row>
    <row r="509" spans="1:17">
      <c r="A509" s="91">
        <v>33695</v>
      </c>
      <c r="B509">
        <v>403.67001299999998</v>
      </c>
      <c r="C509">
        <v>416.27999899999998</v>
      </c>
      <c r="D509">
        <v>392.41000400000001</v>
      </c>
      <c r="E509">
        <v>414.95001200000002</v>
      </c>
      <c r="F509">
        <v>414.95001200000002</v>
      </c>
      <c r="G509">
        <v>4315840000</v>
      </c>
      <c r="H509" s="93">
        <f t="shared" si="26"/>
        <v>0.97816715093333817</v>
      </c>
      <c r="I509">
        <f t="shared" si="28"/>
        <v>1.0758222160976967</v>
      </c>
      <c r="J509">
        <f t="shared" si="27"/>
        <v>4.4195638482797367E-2</v>
      </c>
      <c r="K509" s="91">
        <v>33695</v>
      </c>
      <c r="Q509">
        <v>7592790.8310286636</v>
      </c>
    </row>
    <row r="510" spans="1:17">
      <c r="A510" s="91">
        <v>33725</v>
      </c>
      <c r="B510">
        <v>414.95001200000002</v>
      </c>
      <c r="C510">
        <v>418.75</v>
      </c>
      <c r="D510">
        <v>409.85000600000001</v>
      </c>
      <c r="E510">
        <v>415.35000600000001</v>
      </c>
      <c r="F510">
        <v>415.35000600000001</v>
      </c>
      <c r="G510">
        <v>3643980000</v>
      </c>
      <c r="H510" s="93">
        <f t="shared" si="26"/>
        <v>1.0279436139339884</v>
      </c>
      <c r="I510">
        <f t="shared" si="28"/>
        <v>1.1055015462021867</v>
      </c>
      <c r="J510">
        <f t="shared" si="27"/>
        <v>4.4535996240784387E-2</v>
      </c>
      <c r="K510" s="91">
        <v>33725</v>
      </c>
      <c r="Q510">
        <v>5106035.0307263415</v>
      </c>
    </row>
    <row r="511" spans="1:17">
      <c r="A511" s="91">
        <v>33756</v>
      </c>
      <c r="B511">
        <v>415.35000600000001</v>
      </c>
      <c r="C511">
        <v>417.29998799999998</v>
      </c>
      <c r="D511">
        <v>399.92001299999998</v>
      </c>
      <c r="E511">
        <v>408.14001500000001</v>
      </c>
      <c r="F511">
        <v>408.14001500000001</v>
      </c>
      <c r="G511">
        <v>4259830000</v>
      </c>
      <c r="H511" s="93">
        <f t="shared" si="26"/>
        <v>1.0009639570753885</v>
      </c>
      <c r="I511">
        <f t="shared" si="28"/>
        <v>1.0655191199072322</v>
      </c>
      <c r="J511">
        <f t="shared" si="27"/>
        <v>4.3603681123758044E-2</v>
      </c>
      <c r="K511" s="91">
        <v>33756</v>
      </c>
      <c r="Q511">
        <v>2084628.8135158634</v>
      </c>
    </row>
    <row r="512" spans="1:17">
      <c r="A512" s="91">
        <v>33786</v>
      </c>
      <c r="B512">
        <v>408.20001200000002</v>
      </c>
      <c r="C512">
        <v>424.79998799999998</v>
      </c>
      <c r="D512">
        <v>407.20001200000002</v>
      </c>
      <c r="E512">
        <v>424.209991</v>
      </c>
      <c r="F512">
        <v>424.209991</v>
      </c>
      <c r="G512">
        <v>4265220000</v>
      </c>
      <c r="H512" s="93">
        <f t="shared" si="26"/>
        <v>0.98278561719823354</v>
      </c>
      <c r="I512">
        <f t="shared" si="28"/>
        <v>1.0997360302229435</v>
      </c>
      <c r="J512">
        <f t="shared" si="27"/>
        <v>4.0979496337691268E-2</v>
      </c>
      <c r="K512" s="91">
        <v>33786</v>
      </c>
      <c r="Q512">
        <v>7748932.7397376169</v>
      </c>
    </row>
    <row r="513" spans="1:17">
      <c r="A513" s="91">
        <v>33817</v>
      </c>
      <c r="B513">
        <v>424.19000199999999</v>
      </c>
      <c r="C513">
        <v>425.14001500000001</v>
      </c>
      <c r="D513">
        <v>408.29998799999998</v>
      </c>
      <c r="E513">
        <v>414.02999899999998</v>
      </c>
      <c r="F513">
        <v>414.02999899999998</v>
      </c>
      <c r="G513">
        <v>3653820000</v>
      </c>
      <c r="H513" s="93">
        <f t="shared" si="26"/>
        <v>1.0391719488729461</v>
      </c>
      <c r="I513">
        <f t="shared" si="28"/>
        <v>1.0938088347067318</v>
      </c>
      <c r="J513">
        <f t="shared" si="27"/>
        <v>4.0558499681102762E-2</v>
      </c>
      <c r="K513" s="91">
        <v>33817</v>
      </c>
      <c r="Q513">
        <v>1178750.4037538317</v>
      </c>
    </row>
    <row r="514" spans="1:17">
      <c r="A514" s="91">
        <v>33848</v>
      </c>
      <c r="B514">
        <v>414.02999899999998</v>
      </c>
      <c r="C514">
        <v>425.26998900000001</v>
      </c>
      <c r="D514">
        <v>412.709991</v>
      </c>
      <c r="E514">
        <v>417.79998799999998</v>
      </c>
      <c r="F514">
        <v>417.79998799999998</v>
      </c>
      <c r="G514">
        <v>4023850000</v>
      </c>
      <c r="H514" s="93">
        <f t="shared" si="26"/>
        <v>0.97604846188713323</v>
      </c>
      <c r="I514">
        <f t="shared" si="28"/>
        <v>1.0470374183275468</v>
      </c>
      <c r="J514">
        <f t="shared" si="27"/>
        <v>4.1386561109676069E-2</v>
      </c>
      <c r="K514" s="91">
        <v>33848</v>
      </c>
      <c r="Q514">
        <v>8781718.5803082027</v>
      </c>
    </row>
    <row r="515" spans="1:17">
      <c r="A515" s="91">
        <v>33878</v>
      </c>
      <c r="B515">
        <v>417.79998799999998</v>
      </c>
      <c r="C515">
        <v>421.16000400000001</v>
      </c>
      <c r="D515">
        <v>396.79998799999998</v>
      </c>
      <c r="E515">
        <v>418.67999300000002</v>
      </c>
      <c r="F515">
        <v>418.67999300000002</v>
      </c>
      <c r="G515">
        <v>4507010000</v>
      </c>
      <c r="H515" s="93">
        <f t="shared" si="26"/>
        <v>1.0091055938195435</v>
      </c>
      <c r="I515">
        <f t="shared" si="28"/>
        <v>1.0771928122464089</v>
      </c>
      <c r="J515">
        <f t="shared" si="27"/>
        <v>4.0711655122473538E-2</v>
      </c>
      <c r="K515" s="91">
        <v>33878</v>
      </c>
      <c r="Q515">
        <v>7130332.0806559762</v>
      </c>
    </row>
    <row r="516" spans="1:17">
      <c r="A516" s="91">
        <v>33909</v>
      </c>
      <c r="B516">
        <v>418.66000400000001</v>
      </c>
      <c r="C516">
        <v>431.92999300000002</v>
      </c>
      <c r="D516">
        <v>415.57998700000002</v>
      </c>
      <c r="E516">
        <v>431.35000600000001</v>
      </c>
      <c r="F516">
        <v>431.35000600000001</v>
      </c>
      <c r="G516">
        <v>4148770000</v>
      </c>
      <c r="H516" s="93">
        <f t="shared" ref="H516:H579" si="29">B516/B515</f>
        <v>1.0020584395038328</v>
      </c>
      <c r="I516">
        <f t="shared" si="28"/>
        <v>1.066758430415395</v>
      </c>
      <c r="J516">
        <f t="shared" si="27"/>
        <v>4.0702421135391451E-2</v>
      </c>
      <c r="K516" s="91">
        <v>33909</v>
      </c>
      <c r="Q516">
        <v>2717374.0698468094</v>
      </c>
    </row>
    <row r="517" spans="1:17">
      <c r="A517" s="91">
        <v>33939</v>
      </c>
      <c r="B517">
        <v>431.35000600000001</v>
      </c>
      <c r="C517">
        <v>442.64999399999999</v>
      </c>
      <c r="D517">
        <v>428.60998499999999</v>
      </c>
      <c r="E517">
        <v>435.709991</v>
      </c>
      <c r="F517">
        <v>435.709991</v>
      </c>
      <c r="G517">
        <v>4876150000</v>
      </c>
      <c r="H517" s="93">
        <f t="shared" si="29"/>
        <v>1.0303109967007977</v>
      </c>
      <c r="I517">
        <f t="shared" si="28"/>
        <v>1.1499294160351397</v>
      </c>
      <c r="J517">
        <f t="shared" si="27"/>
        <v>3.7913447324616913E-2</v>
      </c>
      <c r="K517" s="91">
        <v>33939</v>
      </c>
      <c r="Q517">
        <v>7802040.3124094689</v>
      </c>
    </row>
    <row r="518" spans="1:17">
      <c r="A518" s="91">
        <v>33970</v>
      </c>
      <c r="B518">
        <v>435.70001200000002</v>
      </c>
      <c r="C518">
        <v>442.66000400000001</v>
      </c>
      <c r="D518">
        <v>426.88000499999998</v>
      </c>
      <c r="E518">
        <v>438.77999899999998</v>
      </c>
      <c r="F518">
        <v>438.77999899999998</v>
      </c>
      <c r="G518">
        <v>5280850000</v>
      </c>
      <c r="H518" s="93">
        <f t="shared" si="29"/>
        <v>1.010084631829123</v>
      </c>
      <c r="I518">
        <f t="shared" si="28"/>
        <v>1.0447689927457713</v>
      </c>
      <c r="J518">
        <f t="shared" si="27"/>
        <v>2.1473178758907977E-2</v>
      </c>
      <c r="K518" s="91">
        <v>33970</v>
      </c>
      <c r="Q518">
        <v>3081611.9176899916</v>
      </c>
    </row>
    <row r="519" spans="1:17">
      <c r="A519" s="91">
        <v>34001</v>
      </c>
      <c r="B519">
        <v>438.77999899999998</v>
      </c>
      <c r="C519">
        <v>450.040009</v>
      </c>
      <c r="D519">
        <v>428.25</v>
      </c>
      <c r="E519">
        <v>443.38000499999998</v>
      </c>
      <c r="F519">
        <v>443.38000499999998</v>
      </c>
      <c r="G519">
        <v>5442450000</v>
      </c>
      <c r="H519" s="93">
        <f t="shared" si="29"/>
        <v>1.0070690542005309</v>
      </c>
      <c r="I519">
        <f t="shared" si="28"/>
        <v>1.0733628252641565</v>
      </c>
      <c r="J519">
        <f t="shared" si="27"/>
        <v>2.014538103794191E-2</v>
      </c>
      <c r="K519" s="91">
        <v>34001</v>
      </c>
      <c r="Q519">
        <v>9841430.0116388202</v>
      </c>
    </row>
    <row r="520" spans="1:17">
      <c r="A520" s="91">
        <v>34029</v>
      </c>
      <c r="B520">
        <v>443.38000499999998</v>
      </c>
      <c r="C520">
        <v>456.76001000000002</v>
      </c>
      <c r="D520">
        <v>441.07000699999998</v>
      </c>
      <c r="E520">
        <v>451.67001299999998</v>
      </c>
      <c r="F520">
        <v>451.67001299999998</v>
      </c>
      <c r="G520">
        <v>5766950000</v>
      </c>
      <c r="H520" s="93">
        <f t="shared" si="29"/>
        <v>1.0104836273542177</v>
      </c>
      <c r="I520">
        <f t="shared" si="28"/>
        <v>1.0743918108964394</v>
      </c>
      <c r="J520">
        <f t="shared" si="27"/>
        <v>2.0162219801074913E-2</v>
      </c>
      <c r="K520" s="91">
        <v>34029</v>
      </c>
      <c r="Q520">
        <v>4768452.5751665132</v>
      </c>
    </row>
    <row r="521" spans="1:17">
      <c r="A521" s="91">
        <v>34060</v>
      </c>
      <c r="B521">
        <v>451.67001299999998</v>
      </c>
      <c r="C521">
        <v>452.63000499999998</v>
      </c>
      <c r="D521">
        <v>432.29998799999998</v>
      </c>
      <c r="E521">
        <v>440.19000199999999</v>
      </c>
      <c r="F521">
        <v>440.19000199999999</v>
      </c>
      <c r="G521">
        <v>5853170000</v>
      </c>
      <c r="H521" s="93">
        <f t="shared" si="29"/>
        <v>1.0186972978179294</v>
      </c>
      <c r="I521">
        <f t="shared" si="28"/>
        <v>1.1189090060053581</v>
      </c>
      <c r="J521">
        <f t="shared" si="27"/>
        <v>1.8356357825724579E-2</v>
      </c>
      <c r="K521" s="91">
        <v>34060</v>
      </c>
      <c r="Q521">
        <v>1105535.0825046634</v>
      </c>
    </row>
    <row r="522" spans="1:17">
      <c r="A522" s="91">
        <v>34090</v>
      </c>
      <c r="B522">
        <v>440.19000199999999</v>
      </c>
      <c r="C522">
        <v>454.54998799999998</v>
      </c>
      <c r="D522">
        <v>436.85998499999999</v>
      </c>
      <c r="E522">
        <v>450.19000199999999</v>
      </c>
      <c r="F522">
        <v>450.19000199999999</v>
      </c>
      <c r="G522">
        <v>5108640000</v>
      </c>
      <c r="H522" s="93">
        <f t="shared" si="29"/>
        <v>0.97458318978550385</v>
      </c>
      <c r="I522">
        <f t="shared" si="28"/>
        <v>1.0608265797567924</v>
      </c>
      <c r="J522">
        <f t="shared" si="27"/>
        <v>1.989674596808275E-2</v>
      </c>
      <c r="K522" s="91">
        <v>34090</v>
      </c>
      <c r="Q522">
        <v>4207402.4612955553</v>
      </c>
    </row>
    <row r="523" spans="1:17">
      <c r="A523" s="91">
        <v>34121</v>
      </c>
      <c r="B523">
        <v>450.23001099999999</v>
      </c>
      <c r="C523">
        <v>455.63000499999998</v>
      </c>
      <c r="D523">
        <v>442.5</v>
      </c>
      <c r="E523">
        <v>450.52999899999998</v>
      </c>
      <c r="F523">
        <v>450.52999899999998</v>
      </c>
      <c r="G523">
        <v>5544400000</v>
      </c>
      <c r="H523" s="93">
        <f t="shared" si="29"/>
        <v>1.0228083531074839</v>
      </c>
      <c r="I523">
        <f t="shared" si="28"/>
        <v>1.0839773793093432</v>
      </c>
      <c r="J523">
        <f t="shared" si="27"/>
        <v>2.047350138181997E-2</v>
      </c>
      <c r="K523" s="91">
        <v>34121</v>
      </c>
      <c r="Q523">
        <v>9401353.9396503977</v>
      </c>
    </row>
    <row r="524" spans="1:17">
      <c r="A524" s="91">
        <v>34151</v>
      </c>
      <c r="B524">
        <v>450.540009</v>
      </c>
      <c r="C524">
        <v>451.14999399999999</v>
      </c>
      <c r="D524">
        <v>441.39999399999999</v>
      </c>
      <c r="E524">
        <v>448.13000499999998</v>
      </c>
      <c r="F524">
        <v>448.13000499999998</v>
      </c>
      <c r="G524">
        <v>5308530000</v>
      </c>
      <c r="H524" s="93">
        <f t="shared" si="29"/>
        <v>1.0006885325109969</v>
      </c>
      <c r="I524">
        <f t="shared" si="28"/>
        <v>1.103723654471622</v>
      </c>
      <c r="J524">
        <f t="shared" si="27"/>
        <v>1.9164268690808207E-2</v>
      </c>
      <c r="K524" s="91">
        <v>34151</v>
      </c>
      <c r="Q524">
        <v>11247881.494119234</v>
      </c>
    </row>
    <row r="525" spans="1:17">
      <c r="A525" s="91">
        <v>34182</v>
      </c>
      <c r="B525">
        <v>448.13000499999998</v>
      </c>
      <c r="C525">
        <v>463.55999800000001</v>
      </c>
      <c r="D525">
        <v>446.94000199999999</v>
      </c>
      <c r="E525">
        <v>463.55999800000001</v>
      </c>
      <c r="F525">
        <v>463.55999800000001</v>
      </c>
      <c r="G525">
        <v>5506200000</v>
      </c>
      <c r="H525" s="93">
        <f t="shared" si="29"/>
        <v>0.99465085463697411</v>
      </c>
      <c r="I525">
        <f t="shared" si="28"/>
        <v>1.0564369808037106</v>
      </c>
      <c r="J525">
        <f t="shared" si="27"/>
        <v>1.6839378044617413E-2</v>
      </c>
      <c r="K525" s="91">
        <v>34182</v>
      </c>
      <c r="Q525">
        <v>773107.59526548546</v>
      </c>
    </row>
    <row r="526" spans="1:17">
      <c r="A526" s="91">
        <v>34213</v>
      </c>
      <c r="B526">
        <v>463.54998799999998</v>
      </c>
      <c r="C526">
        <v>463.79998799999998</v>
      </c>
      <c r="D526">
        <v>449.64001500000001</v>
      </c>
      <c r="E526">
        <v>458.92999300000002</v>
      </c>
      <c r="F526">
        <v>458.92999300000002</v>
      </c>
      <c r="G526">
        <v>5552720000</v>
      </c>
      <c r="H526" s="93">
        <f t="shared" si="29"/>
        <v>1.0344096195924217</v>
      </c>
      <c r="I526">
        <f t="shared" si="28"/>
        <v>1.1196048332719968</v>
      </c>
      <c r="J526">
        <f t="shared" si="27"/>
        <v>1.62236862454734E-2</v>
      </c>
      <c r="K526" s="91">
        <v>34213</v>
      </c>
      <c r="Q526">
        <v>1534088.3160300117</v>
      </c>
    </row>
    <row r="527" spans="1:17">
      <c r="A527" s="91">
        <v>34243</v>
      </c>
      <c r="B527">
        <v>458.92999300000002</v>
      </c>
      <c r="C527">
        <v>471.10000600000001</v>
      </c>
      <c r="D527">
        <v>456.39999399999999</v>
      </c>
      <c r="E527">
        <v>467.82998700000002</v>
      </c>
      <c r="F527">
        <v>467.82998700000002</v>
      </c>
      <c r="G527">
        <v>5940460000</v>
      </c>
      <c r="H527" s="93">
        <f t="shared" si="29"/>
        <v>0.99003344812943894</v>
      </c>
      <c r="I527">
        <f t="shared" si="28"/>
        <v>1.0984442464847559</v>
      </c>
      <c r="J527">
        <f t="shared" ref="J527:J590" si="30">_xlfn.STDEV.S(H516:H527)</f>
        <v>1.7180293069385448E-2</v>
      </c>
      <c r="K527" s="91">
        <v>34243</v>
      </c>
      <c r="Q527">
        <v>4381260.8604786284</v>
      </c>
    </row>
    <row r="528" spans="1:17">
      <c r="A528" s="91">
        <v>34274</v>
      </c>
      <c r="B528">
        <v>467.82998700000002</v>
      </c>
      <c r="C528">
        <v>469.10998499999999</v>
      </c>
      <c r="D528">
        <v>454.35998499999999</v>
      </c>
      <c r="E528">
        <v>461.790009</v>
      </c>
      <c r="F528">
        <v>461.790009</v>
      </c>
      <c r="G528">
        <v>5876610000</v>
      </c>
      <c r="H528" s="93">
        <f t="shared" si="29"/>
        <v>1.0193929229637428</v>
      </c>
      <c r="I528">
        <f t="shared" ref="I528:I591" si="31">B528/B516</f>
        <v>1.1174460959494952</v>
      </c>
      <c r="J528">
        <f t="shared" si="30"/>
        <v>1.7364005873110204E-2</v>
      </c>
      <c r="K528" s="91">
        <v>34274</v>
      </c>
      <c r="Q528">
        <v>1218132.8575443018</v>
      </c>
    </row>
    <row r="529" spans="1:17">
      <c r="A529" s="91">
        <v>34304</v>
      </c>
      <c r="B529">
        <v>461.92999300000002</v>
      </c>
      <c r="C529">
        <v>471.290009</v>
      </c>
      <c r="D529">
        <v>461.45001200000002</v>
      </c>
      <c r="E529">
        <v>466.45001200000002</v>
      </c>
      <c r="F529">
        <v>466.45001200000002</v>
      </c>
      <c r="G529">
        <v>5791210000</v>
      </c>
      <c r="H529" s="93">
        <f t="shared" si="29"/>
        <v>0.98738859379700261</v>
      </c>
      <c r="I529">
        <f t="shared" si="31"/>
        <v>1.070893674683292</v>
      </c>
      <c r="J529">
        <f t="shared" si="30"/>
        <v>1.7091335702382186E-2</v>
      </c>
      <c r="K529" s="91">
        <v>34304</v>
      </c>
      <c r="Q529">
        <v>4970732.7339992225</v>
      </c>
    </row>
    <row r="530" spans="1:17">
      <c r="A530" s="91">
        <v>34335</v>
      </c>
      <c r="B530">
        <v>466.51001000000002</v>
      </c>
      <c r="C530">
        <v>482.85000600000001</v>
      </c>
      <c r="D530">
        <v>464.35998499999999</v>
      </c>
      <c r="E530">
        <v>481.60998499999999</v>
      </c>
      <c r="F530">
        <v>481.60998499999999</v>
      </c>
      <c r="G530">
        <v>6627390000</v>
      </c>
      <c r="H530" s="93">
        <f t="shared" si="29"/>
        <v>1.0099149591267178</v>
      </c>
      <c r="I530">
        <f t="shared" si="31"/>
        <v>1.0707137873569763</v>
      </c>
      <c r="J530">
        <f t="shared" si="30"/>
        <v>1.7087590533264183E-2</v>
      </c>
      <c r="K530" s="91">
        <v>34335</v>
      </c>
      <c r="Q530">
        <v>3078850.0559969116</v>
      </c>
    </row>
    <row r="531" spans="1:17">
      <c r="A531" s="91">
        <v>34366</v>
      </c>
      <c r="B531">
        <v>481.60000600000001</v>
      </c>
      <c r="C531">
        <v>482.23001099999999</v>
      </c>
      <c r="D531">
        <v>464.26001000000002</v>
      </c>
      <c r="E531">
        <v>467.14001500000001</v>
      </c>
      <c r="F531">
        <v>467.14001500000001</v>
      </c>
      <c r="G531">
        <v>5853100000</v>
      </c>
      <c r="H531" s="93">
        <f t="shared" si="29"/>
        <v>1.0323465642248491</v>
      </c>
      <c r="I531">
        <f t="shared" si="31"/>
        <v>1.097588785034844</v>
      </c>
      <c r="J531">
        <f t="shared" si="30"/>
        <v>1.8731388720300501E-2</v>
      </c>
      <c r="K531" s="91">
        <v>34366</v>
      </c>
      <c r="Q531">
        <v>10390075.284335937</v>
      </c>
    </row>
    <row r="532" spans="1:17">
      <c r="A532" s="91">
        <v>34394</v>
      </c>
      <c r="B532">
        <v>467.19000199999999</v>
      </c>
      <c r="C532">
        <v>471.08999599999999</v>
      </c>
      <c r="D532">
        <v>436.16000400000001</v>
      </c>
      <c r="E532">
        <v>445.76998900000001</v>
      </c>
      <c r="F532">
        <v>445.76998900000001</v>
      </c>
      <c r="G532">
        <v>7225010000</v>
      </c>
      <c r="H532" s="93">
        <f t="shared" si="29"/>
        <v>0.97007889572160844</v>
      </c>
      <c r="I532">
        <f t="shared" si="31"/>
        <v>1.0537011067966404</v>
      </c>
      <c r="J532">
        <f t="shared" si="30"/>
        <v>2.1640148959849378E-2</v>
      </c>
      <c r="K532" s="91">
        <v>34394</v>
      </c>
      <c r="Q532">
        <v>3375845.757082399</v>
      </c>
    </row>
    <row r="533" spans="1:17">
      <c r="A533" s="91">
        <v>34425</v>
      </c>
      <c r="B533">
        <v>445.66000400000001</v>
      </c>
      <c r="C533">
        <v>452.790009</v>
      </c>
      <c r="D533">
        <v>435.85998499999999</v>
      </c>
      <c r="E533">
        <v>450.91000400000001</v>
      </c>
      <c r="F533">
        <v>450.91000400000001</v>
      </c>
      <c r="G533">
        <v>5735010000</v>
      </c>
      <c r="H533" s="93">
        <f t="shared" si="29"/>
        <v>0.95391597014526874</v>
      </c>
      <c r="I533">
        <f t="shared" si="31"/>
        <v>0.98669380559474962</v>
      </c>
      <c r="J533">
        <f t="shared" si="30"/>
        <v>2.5529738040231408E-2</v>
      </c>
      <c r="K533" s="91">
        <v>34425</v>
      </c>
      <c r="Q533">
        <v>1967514.0992612601</v>
      </c>
    </row>
    <row r="534" spans="1:17">
      <c r="A534" s="91">
        <v>34455</v>
      </c>
      <c r="B534">
        <v>450.91000400000001</v>
      </c>
      <c r="C534">
        <v>457.76998900000001</v>
      </c>
      <c r="D534">
        <v>440.77999899999998</v>
      </c>
      <c r="E534">
        <v>456.5</v>
      </c>
      <c r="F534">
        <v>456.5</v>
      </c>
      <c r="G534">
        <v>5675970000</v>
      </c>
      <c r="H534" s="93">
        <f t="shared" si="29"/>
        <v>1.0117802808259186</v>
      </c>
      <c r="I534">
        <f t="shared" si="31"/>
        <v>1.0243531246763755</v>
      </c>
      <c r="J534">
        <f t="shared" si="30"/>
        <v>2.4508965019139451E-2</v>
      </c>
      <c r="K534" s="91">
        <v>34455</v>
      </c>
      <c r="Q534">
        <v>12385898.232009802</v>
      </c>
    </row>
    <row r="535" spans="1:17">
      <c r="A535" s="91">
        <v>34486</v>
      </c>
      <c r="B535">
        <v>456.5</v>
      </c>
      <c r="C535">
        <v>463.23001099999999</v>
      </c>
      <c r="D535">
        <v>439.82998700000002</v>
      </c>
      <c r="E535">
        <v>444.26998900000001</v>
      </c>
      <c r="F535">
        <v>444.26998900000001</v>
      </c>
      <c r="G535">
        <v>5852670000</v>
      </c>
      <c r="H535" s="93">
        <f t="shared" si="29"/>
        <v>1.0123971434441716</v>
      </c>
      <c r="I535">
        <f t="shared" si="31"/>
        <v>1.0139261907176598</v>
      </c>
      <c r="J535">
        <f t="shared" si="30"/>
        <v>2.3892902296222922E-2</v>
      </c>
      <c r="K535" s="91">
        <v>34486</v>
      </c>
      <c r="Q535">
        <v>2007638.1627611534</v>
      </c>
    </row>
    <row r="536" spans="1:17">
      <c r="A536" s="91">
        <v>34516</v>
      </c>
      <c r="B536">
        <v>444.26998900000001</v>
      </c>
      <c r="C536">
        <v>459.32998700000002</v>
      </c>
      <c r="D536">
        <v>443.57998700000002</v>
      </c>
      <c r="E536">
        <v>458.26001000000002</v>
      </c>
      <c r="F536">
        <v>458.26001000000002</v>
      </c>
      <c r="G536">
        <v>4980100000</v>
      </c>
      <c r="H536" s="93">
        <f t="shared" si="29"/>
        <v>0.97320917634173054</v>
      </c>
      <c r="I536">
        <f t="shared" si="31"/>
        <v>0.98608332251353958</v>
      </c>
      <c r="J536">
        <f t="shared" si="30"/>
        <v>2.524745624879236E-2</v>
      </c>
      <c r="K536" s="91">
        <v>34516</v>
      </c>
      <c r="Q536">
        <v>9981396.7557193916</v>
      </c>
    </row>
    <row r="537" spans="1:17">
      <c r="A537" s="91">
        <v>34547</v>
      </c>
      <c r="B537">
        <v>458.27999899999998</v>
      </c>
      <c r="C537">
        <v>477.58999599999999</v>
      </c>
      <c r="D537">
        <v>456.07998700000002</v>
      </c>
      <c r="E537">
        <v>475.48998999999998</v>
      </c>
      <c r="F537">
        <v>475.48998999999998</v>
      </c>
      <c r="G537">
        <v>6398750000</v>
      </c>
      <c r="H537" s="93">
        <f t="shared" si="29"/>
        <v>1.0315349007290249</v>
      </c>
      <c r="I537">
        <f t="shared" si="31"/>
        <v>1.0226496639072404</v>
      </c>
      <c r="J537">
        <f t="shared" si="30"/>
        <v>2.6847507946313999E-2</v>
      </c>
      <c r="K537" s="91">
        <v>34547</v>
      </c>
      <c r="Q537">
        <v>5879391.2675370323</v>
      </c>
    </row>
    <row r="538" spans="1:17">
      <c r="A538" s="91">
        <v>34578</v>
      </c>
      <c r="B538">
        <v>475.48998999999998</v>
      </c>
      <c r="C538">
        <v>475.48998999999998</v>
      </c>
      <c r="D538">
        <v>458.47000100000002</v>
      </c>
      <c r="E538">
        <v>462.709991</v>
      </c>
      <c r="F538">
        <v>462.709991</v>
      </c>
      <c r="G538">
        <v>6152870000</v>
      </c>
      <c r="H538" s="93">
        <f t="shared" si="29"/>
        <v>1.0375534412096392</v>
      </c>
      <c r="I538">
        <f t="shared" si="31"/>
        <v>1.0257577441680357</v>
      </c>
      <c r="J538">
        <f t="shared" si="30"/>
        <v>2.7203370098537061E-2</v>
      </c>
      <c r="K538" s="91">
        <v>34578</v>
      </c>
      <c r="Q538">
        <v>9053702.0255808644</v>
      </c>
    </row>
    <row r="539" spans="1:17">
      <c r="A539" s="91">
        <v>34608</v>
      </c>
      <c r="B539">
        <v>462.69000199999999</v>
      </c>
      <c r="C539">
        <v>474.73998999999998</v>
      </c>
      <c r="D539">
        <v>449.26998900000001</v>
      </c>
      <c r="E539">
        <v>472.35000600000001</v>
      </c>
      <c r="F539">
        <v>472.35000600000001</v>
      </c>
      <c r="G539">
        <v>6344700000</v>
      </c>
      <c r="H539" s="93">
        <f t="shared" si="29"/>
        <v>0.97308042594124855</v>
      </c>
      <c r="I539">
        <f t="shared" si="31"/>
        <v>1.0081929903413394</v>
      </c>
      <c r="J539">
        <f t="shared" si="30"/>
        <v>2.8324613228915968E-2</v>
      </c>
      <c r="K539" s="91">
        <v>34608</v>
      </c>
      <c r="Q539">
        <v>16445403.553914379</v>
      </c>
    </row>
    <row r="540" spans="1:17">
      <c r="A540" s="91">
        <v>34639</v>
      </c>
      <c r="B540">
        <v>472.26001000000002</v>
      </c>
      <c r="C540">
        <v>472.26001000000002</v>
      </c>
      <c r="D540">
        <v>444.17999300000002</v>
      </c>
      <c r="E540">
        <v>453.69000199999999</v>
      </c>
      <c r="F540">
        <v>453.69000199999999</v>
      </c>
      <c r="G540">
        <v>6251240000</v>
      </c>
      <c r="H540" s="93">
        <f t="shared" si="29"/>
        <v>1.0206834121304398</v>
      </c>
      <c r="I540">
        <f t="shared" si="31"/>
        <v>1.0094693010775302</v>
      </c>
      <c r="J540">
        <f t="shared" si="30"/>
        <v>2.8402931307782431E-2</v>
      </c>
      <c r="K540" s="91">
        <v>34639</v>
      </c>
      <c r="Q540">
        <v>2228510.9327173005</v>
      </c>
    </row>
    <row r="541" spans="1:17">
      <c r="A541" s="91">
        <v>34669</v>
      </c>
      <c r="B541">
        <v>453.54998799999998</v>
      </c>
      <c r="C541">
        <v>462.73001099999999</v>
      </c>
      <c r="D541">
        <v>442.88000499999998</v>
      </c>
      <c r="E541">
        <v>459.26998900000001</v>
      </c>
      <c r="F541">
        <v>459.26998900000001</v>
      </c>
      <c r="G541">
        <v>6351530000</v>
      </c>
      <c r="H541" s="93">
        <f t="shared" si="29"/>
        <v>0.96038194722436898</v>
      </c>
      <c r="I541">
        <f t="shared" si="31"/>
        <v>0.98185871208410569</v>
      </c>
      <c r="J541">
        <f t="shared" si="30"/>
        <v>3.0579622623800599E-2</v>
      </c>
      <c r="K541" s="91">
        <v>34669</v>
      </c>
      <c r="Q541">
        <v>2869643.9093472017</v>
      </c>
    </row>
    <row r="542" spans="1:17">
      <c r="A542" s="91">
        <v>34700</v>
      </c>
      <c r="B542">
        <v>459.209991</v>
      </c>
      <c r="C542">
        <v>471.35998499999999</v>
      </c>
      <c r="D542">
        <v>457.20001200000002</v>
      </c>
      <c r="E542">
        <v>470.42001299999998</v>
      </c>
      <c r="F542">
        <v>470.42001299999998</v>
      </c>
      <c r="G542">
        <v>6852060000</v>
      </c>
      <c r="H542" s="93">
        <f t="shared" si="29"/>
        <v>1.0124793366767766</v>
      </c>
      <c r="I542">
        <f t="shared" si="31"/>
        <v>0.98435184917039609</v>
      </c>
      <c r="J542">
        <f t="shared" si="30"/>
        <v>3.0672366325026255E-2</v>
      </c>
      <c r="K542" s="91">
        <v>34700</v>
      </c>
      <c r="Q542">
        <v>2377082.9719333216</v>
      </c>
    </row>
    <row r="543" spans="1:17">
      <c r="A543" s="91">
        <v>34731</v>
      </c>
      <c r="B543">
        <v>470.42001299999998</v>
      </c>
      <c r="C543">
        <v>489.19000199999999</v>
      </c>
      <c r="D543">
        <v>469.290009</v>
      </c>
      <c r="E543">
        <v>487.39001500000001</v>
      </c>
      <c r="F543">
        <v>487.39001500000001</v>
      </c>
      <c r="G543">
        <v>6330100000</v>
      </c>
      <c r="H543" s="93">
        <f t="shared" si="29"/>
        <v>1.0244115376836389</v>
      </c>
      <c r="I543">
        <f t="shared" si="31"/>
        <v>0.97678572910981232</v>
      </c>
      <c r="J543">
        <f t="shared" si="30"/>
        <v>2.9968387657575202E-2</v>
      </c>
      <c r="K543" s="91">
        <v>34731</v>
      </c>
      <c r="Q543">
        <v>7132813.9721585736</v>
      </c>
    </row>
    <row r="544" spans="1:17">
      <c r="A544" s="91">
        <v>34759</v>
      </c>
      <c r="B544">
        <v>487.39001500000001</v>
      </c>
      <c r="C544">
        <v>508.14999399999999</v>
      </c>
      <c r="D544">
        <v>479.70001200000002</v>
      </c>
      <c r="E544">
        <v>500.709991</v>
      </c>
      <c r="F544">
        <v>500.709991</v>
      </c>
      <c r="G544">
        <v>7792400000</v>
      </c>
      <c r="H544" s="93">
        <f t="shared" si="29"/>
        <v>1.0360741497619916</v>
      </c>
      <c r="I544">
        <f t="shared" si="31"/>
        <v>1.0432372544650474</v>
      </c>
      <c r="J544">
        <f t="shared" si="30"/>
        <v>3.0340020185109371E-2</v>
      </c>
      <c r="K544" s="91">
        <v>34759</v>
      </c>
      <c r="Q544">
        <v>3506298.2746741492</v>
      </c>
    </row>
    <row r="545" spans="1:17">
      <c r="A545" s="91">
        <v>34790</v>
      </c>
      <c r="B545">
        <v>500.70001200000002</v>
      </c>
      <c r="C545">
        <v>515.28997800000002</v>
      </c>
      <c r="D545">
        <v>500.20001200000002</v>
      </c>
      <c r="E545">
        <v>514.71002199999998</v>
      </c>
      <c r="F545">
        <v>514.71002199999998</v>
      </c>
      <c r="G545">
        <v>6307030000</v>
      </c>
      <c r="H545" s="93">
        <f t="shared" si="29"/>
        <v>1.027308719075831</v>
      </c>
      <c r="I545">
        <f t="shared" si="31"/>
        <v>1.1235022382668201</v>
      </c>
      <c r="J545">
        <f t="shared" si="30"/>
        <v>2.6488062106879755E-2</v>
      </c>
      <c r="K545" s="91">
        <v>34790</v>
      </c>
      <c r="Q545">
        <v>4815566.9755059704</v>
      </c>
    </row>
    <row r="546" spans="1:17">
      <c r="A546" s="91">
        <v>34820</v>
      </c>
      <c r="B546">
        <v>514.76000999999997</v>
      </c>
      <c r="C546">
        <v>533.40997300000004</v>
      </c>
      <c r="D546">
        <v>513.03002900000001</v>
      </c>
      <c r="E546">
        <v>533.40002400000003</v>
      </c>
      <c r="F546">
        <v>533.40002400000003</v>
      </c>
      <c r="G546">
        <v>7555690000</v>
      </c>
      <c r="H546" s="93">
        <f t="shared" si="29"/>
        <v>1.0280806823707445</v>
      </c>
      <c r="I546">
        <f t="shared" si="31"/>
        <v>1.1416025491419346</v>
      </c>
      <c r="J546">
        <f t="shared" si="30"/>
        <v>2.6996567942452775E-2</v>
      </c>
      <c r="K546" s="91">
        <v>34820</v>
      </c>
      <c r="Q546">
        <v>2697228.0006548516</v>
      </c>
    </row>
    <row r="547" spans="1:17">
      <c r="A547" s="91">
        <v>34851</v>
      </c>
      <c r="B547">
        <v>533.40002400000003</v>
      </c>
      <c r="C547">
        <v>551.07000700000003</v>
      </c>
      <c r="D547">
        <v>526</v>
      </c>
      <c r="E547">
        <v>544.75</v>
      </c>
      <c r="F547">
        <v>544.75</v>
      </c>
      <c r="G547">
        <v>7555650000</v>
      </c>
      <c r="H547" s="93">
        <f t="shared" si="29"/>
        <v>1.036211076303305</v>
      </c>
      <c r="I547">
        <f t="shared" si="31"/>
        <v>1.1684556933187296</v>
      </c>
      <c r="J547">
        <f t="shared" si="30"/>
        <v>2.7932924265524146E-2</v>
      </c>
      <c r="K547" s="91">
        <v>34851</v>
      </c>
      <c r="Q547">
        <v>9504880.3908334393</v>
      </c>
    </row>
    <row r="548" spans="1:17">
      <c r="A548" s="91">
        <v>34881</v>
      </c>
      <c r="B548">
        <v>544.75</v>
      </c>
      <c r="C548">
        <v>565.40002400000003</v>
      </c>
      <c r="D548">
        <v>542.51000999999997</v>
      </c>
      <c r="E548">
        <v>562.05999799999995</v>
      </c>
      <c r="F548">
        <v>562.05999799999995</v>
      </c>
      <c r="G548">
        <v>7307960000</v>
      </c>
      <c r="H548" s="93">
        <f t="shared" si="29"/>
        <v>1.0212785442244374</v>
      </c>
      <c r="I548">
        <f t="shared" si="31"/>
        <v>1.2261688016023067</v>
      </c>
      <c r="J548">
        <f t="shared" si="30"/>
        <v>2.4927662234619587E-2</v>
      </c>
      <c r="K548" s="91">
        <v>34881</v>
      </c>
      <c r="Q548">
        <v>2763611.5342105236</v>
      </c>
    </row>
    <row r="549" spans="1:17">
      <c r="A549" s="91">
        <v>34912</v>
      </c>
      <c r="B549">
        <v>562.05999799999995</v>
      </c>
      <c r="C549">
        <v>565.61999500000002</v>
      </c>
      <c r="D549">
        <v>553.03997800000002</v>
      </c>
      <c r="E549">
        <v>561.88000499999998</v>
      </c>
      <c r="F549">
        <v>561.88000499999998</v>
      </c>
      <c r="G549">
        <v>7146620000</v>
      </c>
      <c r="H549" s="93">
        <f t="shared" si="29"/>
        <v>1.0317760403854979</v>
      </c>
      <c r="I549">
        <f t="shared" si="31"/>
        <v>1.2264554403998766</v>
      </c>
      <c r="J549">
        <f t="shared" si="30"/>
        <v>2.494016636672184E-2</v>
      </c>
      <c r="K549" s="91">
        <v>34912</v>
      </c>
      <c r="Q549">
        <v>1344868.9048112989</v>
      </c>
    </row>
    <row r="550" spans="1:17">
      <c r="A550" s="91">
        <v>34943</v>
      </c>
      <c r="B550">
        <v>561.88000499999998</v>
      </c>
      <c r="C550">
        <v>587.60998500000005</v>
      </c>
      <c r="D550">
        <v>561.01000999999997</v>
      </c>
      <c r="E550">
        <v>584.40997300000004</v>
      </c>
      <c r="F550">
        <v>584.40997300000004</v>
      </c>
      <c r="G550">
        <v>7052830000</v>
      </c>
      <c r="H550" s="93">
        <f t="shared" si="29"/>
        <v>0.99967976194598362</v>
      </c>
      <c r="I550">
        <f t="shared" si="31"/>
        <v>1.1816862958566172</v>
      </c>
      <c r="J550">
        <f t="shared" si="30"/>
        <v>2.4557390932771202E-2</v>
      </c>
      <c r="K550" s="91">
        <v>34943</v>
      </c>
      <c r="Q550">
        <v>1105618.6262704839</v>
      </c>
    </row>
    <row r="551" spans="1:17">
      <c r="A551" s="91">
        <v>34973</v>
      </c>
      <c r="B551">
        <v>584.40997300000004</v>
      </c>
      <c r="C551">
        <v>590.65997300000004</v>
      </c>
      <c r="D551">
        <v>571.54998799999998</v>
      </c>
      <c r="E551">
        <v>581.5</v>
      </c>
      <c r="F551">
        <v>581.5</v>
      </c>
      <c r="G551">
        <v>8043320000</v>
      </c>
      <c r="H551" s="93">
        <f t="shared" si="29"/>
        <v>1.0400974724131713</v>
      </c>
      <c r="I551">
        <f t="shared" si="31"/>
        <v>1.2630702424384783</v>
      </c>
      <c r="J551">
        <f t="shared" si="30"/>
        <v>2.179997232377737E-2</v>
      </c>
      <c r="K551" s="91">
        <v>34973</v>
      </c>
      <c r="Q551">
        <v>6592679.2802963899</v>
      </c>
    </row>
    <row r="552" spans="1:17">
      <c r="A552" s="91">
        <v>35004</v>
      </c>
      <c r="B552">
        <v>581.5</v>
      </c>
      <c r="C552">
        <v>608.69000200000005</v>
      </c>
      <c r="D552">
        <v>581.03997800000002</v>
      </c>
      <c r="E552">
        <v>605.36999500000002</v>
      </c>
      <c r="F552">
        <v>605.36999500000002</v>
      </c>
      <c r="G552">
        <v>7602150000</v>
      </c>
      <c r="H552" s="93">
        <f t="shared" si="29"/>
        <v>0.99502066505630959</v>
      </c>
      <c r="I552">
        <f t="shared" si="31"/>
        <v>1.231313233572328</v>
      </c>
      <c r="J552">
        <f t="shared" si="30"/>
        <v>2.2941962660913633E-2</v>
      </c>
      <c r="K552" s="91">
        <v>35004</v>
      </c>
      <c r="Q552">
        <v>1405371.7545112439</v>
      </c>
    </row>
    <row r="553" spans="1:17">
      <c r="A553" s="91">
        <v>35034</v>
      </c>
      <c r="B553">
        <v>605.36999500000002</v>
      </c>
      <c r="C553">
        <v>622.88000499999998</v>
      </c>
      <c r="D553">
        <v>605.04998799999998</v>
      </c>
      <c r="E553">
        <v>615.92999299999997</v>
      </c>
      <c r="F553">
        <v>615.92999299999997</v>
      </c>
      <c r="G553">
        <v>7697540000</v>
      </c>
      <c r="H553" s="93">
        <f t="shared" si="29"/>
        <v>1.0410490025795358</v>
      </c>
      <c r="I553">
        <f t="shared" si="31"/>
        <v>1.3347370984827367</v>
      </c>
      <c r="J553">
        <f t="shared" si="30"/>
        <v>1.5081130642535473E-2</v>
      </c>
      <c r="K553" s="91">
        <v>35034</v>
      </c>
      <c r="Q553">
        <v>5067206.5221544057</v>
      </c>
    </row>
    <row r="554" spans="1:17">
      <c r="A554" s="91">
        <v>35065</v>
      </c>
      <c r="B554">
        <v>615.92999299999997</v>
      </c>
      <c r="C554">
        <v>636.17999299999997</v>
      </c>
      <c r="D554">
        <v>597.28997800000002</v>
      </c>
      <c r="E554">
        <v>636.02002000000005</v>
      </c>
      <c r="F554">
        <v>636.02002000000005</v>
      </c>
      <c r="G554">
        <v>9188050000</v>
      </c>
      <c r="H554" s="93">
        <f t="shared" si="29"/>
        <v>1.0174438741384928</v>
      </c>
      <c r="I554">
        <f t="shared" si="31"/>
        <v>1.3412817775560983</v>
      </c>
      <c r="J554">
        <f t="shared" si="30"/>
        <v>1.4787971836476311E-2</v>
      </c>
      <c r="K554" s="91">
        <v>35065</v>
      </c>
      <c r="Q554">
        <v>10921014.695699714</v>
      </c>
    </row>
    <row r="555" spans="1:17">
      <c r="A555" s="91">
        <v>35096</v>
      </c>
      <c r="B555">
        <v>636.02002000000005</v>
      </c>
      <c r="C555">
        <v>664.22997999999995</v>
      </c>
      <c r="D555">
        <v>633.71002199999998</v>
      </c>
      <c r="E555">
        <v>640.42999299999997</v>
      </c>
      <c r="F555">
        <v>640.42999299999997</v>
      </c>
      <c r="G555">
        <v>8749960000</v>
      </c>
      <c r="H555" s="93">
        <f t="shared" si="29"/>
        <v>1.0326173870867172</v>
      </c>
      <c r="I555">
        <f t="shared" si="31"/>
        <v>1.3520258543932315</v>
      </c>
      <c r="J555">
        <f t="shared" si="30"/>
        <v>1.4953677867716592E-2</v>
      </c>
      <c r="K555" s="91">
        <v>35096</v>
      </c>
      <c r="Q555">
        <v>1926718.8282580271</v>
      </c>
    </row>
    <row r="556" spans="1:17">
      <c r="A556" s="91">
        <v>35125</v>
      </c>
      <c r="B556">
        <v>640.42999299999997</v>
      </c>
      <c r="C556">
        <v>656.96997099999999</v>
      </c>
      <c r="D556">
        <v>627.63000499999998</v>
      </c>
      <c r="E556">
        <v>645.5</v>
      </c>
      <c r="F556">
        <v>645.5</v>
      </c>
      <c r="G556">
        <v>8984200000</v>
      </c>
      <c r="H556" s="93">
        <f t="shared" si="29"/>
        <v>1.0069337015523503</v>
      </c>
      <c r="I556">
        <f t="shared" si="31"/>
        <v>1.3139990013952172</v>
      </c>
      <c r="J556">
        <f t="shared" si="30"/>
        <v>1.5447753150479891E-2</v>
      </c>
      <c r="K556" s="91">
        <v>35125</v>
      </c>
      <c r="Q556">
        <v>3891210.6783924536</v>
      </c>
    </row>
    <row r="557" spans="1:17">
      <c r="A557" s="91">
        <v>35156</v>
      </c>
      <c r="B557">
        <v>645.5</v>
      </c>
      <c r="C557">
        <v>656.67999299999997</v>
      </c>
      <c r="D557">
        <v>624.14001499999995</v>
      </c>
      <c r="E557">
        <v>654.169983</v>
      </c>
      <c r="F557">
        <v>654.169983</v>
      </c>
      <c r="G557">
        <v>8875580000</v>
      </c>
      <c r="H557" s="93">
        <f t="shared" si="29"/>
        <v>1.0079165670805803</v>
      </c>
      <c r="I557">
        <f t="shared" si="31"/>
        <v>1.2891950959250227</v>
      </c>
      <c r="J557">
        <f t="shared" si="30"/>
        <v>1.5975574774415115E-2</v>
      </c>
      <c r="K557" s="91">
        <v>35156</v>
      </c>
      <c r="Q557">
        <v>5347996.3970485115</v>
      </c>
    </row>
    <row r="558" spans="1:17">
      <c r="A558" s="91">
        <v>35186</v>
      </c>
      <c r="B558">
        <v>654.169983</v>
      </c>
      <c r="C558">
        <v>681.09997599999997</v>
      </c>
      <c r="D558">
        <v>630.07000700000003</v>
      </c>
      <c r="E558">
        <v>669.11999500000002</v>
      </c>
      <c r="F558">
        <v>669.11999500000002</v>
      </c>
      <c r="G558">
        <v>8921140000</v>
      </c>
      <c r="H558" s="93">
        <f t="shared" si="29"/>
        <v>1.0134314221533696</v>
      </c>
      <c r="I558">
        <f t="shared" si="31"/>
        <v>1.2708251812334841</v>
      </c>
      <c r="J558">
        <f t="shared" si="30"/>
        <v>1.5987432172205832E-2</v>
      </c>
      <c r="K558" s="91">
        <v>35186</v>
      </c>
      <c r="Q558">
        <v>1418849.6112274409</v>
      </c>
    </row>
    <row r="559" spans="1:17">
      <c r="A559" s="91">
        <v>35217</v>
      </c>
      <c r="B559">
        <v>669.11999500000002</v>
      </c>
      <c r="C559">
        <v>680.32000700000003</v>
      </c>
      <c r="D559">
        <v>658.75</v>
      </c>
      <c r="E559">
        <v>670.63000499999998</v>
      </c>
      <c r="F559">
        <v>670.63000499999998</v>
      </c>
      <c r="G559">
        <v>7930840000</v>
      </c>
      <c r="H559" s="93">
        <f t="shared" si="29"/>
        <v>1.022853405672085</v>
      </c>
      <c r="I559">
        <f t="shared" si="31"/>
        <v>1.2544431287839612</v>
      </c>
      <c r="J559">
        <f t="shared" si="30"/>
        <v>1.5224814620127761E-2</v>
      </c>
      <c r="K559" s="91">
        <v>35217</v>
      </c>
      <c r="Q559">
        <v>9451177.4821899366</v>
      </c>
    </row>
    <row r="560" spans="1:17">
      <c r="A560" s="91">
        <v>35247</v>
      </c>
      <c r="B560">
        <v>670.63000499999998</v>
      </c>
      <c r="C560">
        <v>675.88000499999998</v>
      </c>
      <c r="D560">
        <v>605.88000499999998</v>
      </c>
      <c r="E560">
        <v>639.95001200000002</v>
      </c>
      <c r="F560">
        <v>639.95001200000002</v>
      </c>
      <c r="G560">
        <v>8849860000</v>
      </c>
      <c r="H560" s="93">
        <f t="shared" si="29"/>
        <v>1.002256710322937</v>
      </c>
      <c r="I560">
        <f t="shared" si="31"/>
        <v>1.2310784855438275</v>
      </c>
      <c r="J560">
        <f t="shared" si="30"/>
        <v>1.5958437670371337E-2</v>
      </c>
      <c r="K560" s="91">
        <v>35247</v>
      </c>
      <c r="Q560">
        <v>1244329.3705644079</v>
      </c>
    </row>
    <row r="561" spans="1:17">
      <c r="A561" s="91">
        <v>35278</v>
      </c>
      <c r="B561">
        <v>639.95001200000002</v>
      </c>
      <c r="C561">
        <v>670.67999299999997</v>
      </c>
      <c r="D561">
        <v>639.48999000000003</v>
      </c>
      <c r="E561">
        <v>651.98999000000003</v>
      </c>
      <c r="F561">
        <v>651.98999000000003</v>
      </c>
      <c r="G561">
        <v>7380320000</v>
      </c>
      <c r="H561" s="93">
        <f t="shared" si="29"/>
        <v>0.95425198280533252</v>
      </c>
      <c r="I561">
        <f t="shared" si="31"/>
        <v>1.1385795364857116</v>
      </c>
      <c r="J561">
        <f t="shared" si="30"/>
        <v>2.3569947290792464E-2</v>
      </c>
      <c r="K561" s="91">
        <v>35278</v>
      </c>
      <c r="Q561">
        <v>6579363.1482930239</v>
      </c>
    </row>
    <row r="562" spans="1:17">
      <c r="A562" s="91">
        <v>35309</v>
      </c>
      <c r="B562">
        <v>651.98999000000003</v>
      </c>
      <c r="C562">
        <v>690.88000499999998</v>
      </c>
      <c r="D562">
        <v>643.96997099999999</v>
      </c>
      <c r="E562">
        <v>687.330017</v>
      </c>
      <c r="F562">
        <v>687.330017</v>
      </c>
      <c r="G562">
        <v>8064070000</v>
      </c>
      <c r="H562" s="93">
        <f t="shared" si="29"/>
        <v>1.0188139351109193</v>
      </c>
      <c r="I562">
        <f t="shared" si="31"/>
        <v>1.1603722933689375</v>
      </c>
      <c r="J562">
        <f t="shared" si="30"/>
        <v>2.3371344970437111E-2</v>
      </c>
      <c r="K562" s="91">
        <v>35309</v>
      </c>
      <c r="Q562">
        <v>15659944.998436172</v>
      </c>
    </row>
    <row r="563" spans="1:17">
      <c r="A563" s="91">
        <v>35339</v>
      </c>
      <c r="B563">
        <v>687.30999799999995</v>
      </c>
      <c r="C563">
        <v>714.09997599999997</v>
      </c>
      <c r="D563">
        <v>684.44000200000005</v>
      </c>
      <c r="E563">
        <v>705.27002000000005</v>
      </c>
      <c r="F563">
        <v>705.27002000000005</v>
      </c>
      <c r="G563">
        <v>9703670000</v>
      </c>
      <c r="H563" s="93">
        <f t="shared" si="29"/>
        <v>1.0541726231103639</v>
      </c>
      <c r="I563">
        <f t="shared" si="31"/>
        <v>1.1760750667408613</v>
      </c>
      <c r="J563">
        <f t="shared" si="30"/>
        <v>2.5155144114074518E-2</v>
      </c>
      <c r="K563" s="91">
        <v>35339</v>
      </c>
      <c r="Q563">
        <v>2889758.984253292</v>
      </c>
    </row>
    <row r="564" spans="1:17">
      <c r="A564" s="91">
        <v>35370</v>
      </c>
      <c r="B564">
        <v>705.27002000000005</v>
      </c>
      <c r="C564">
        <v>762.11999500000002</v>
      </c>
      <c r="D564">
        <v>701.29998799999998</v>
      </c>
      <c r="E564">
        <v>757.02002000000005</v>
      </c>
      <c r="F564">
        <v>757.02002000000005</v>
      </c>
      <c r="G564">
        <v>8763850000</v>
      </c>
      <c r="H564" s="93">
        <f t="shared" si="29"/>
        <v>1.0261308900674542</v>
      </c>
      <c r="I564">
        <f t="shared" si="31"/>
        <v>1.2128461220980224</v>
      </c>
      <c r="J564">
        <f t="shared" si="30"/>
        <v>2.463055447934721E-2</v>
      </c>
      <c r="K564" s="91">
        <v>35370</v>
      </c>
      <c r="Q564">
        <v>1341661.9168163729</v>
      </c>
    </row>
    <row r="565" spans="1:17">
      <c r="A565" s="91">
        <v>35400</v>
      </c>
      <c r="B565">
        <v>757.02002000000005</v>
      </c>
      <c r="C565">
        <v>761.75</v>
      </c>
      <c r="D565">
        <v>716.69000200000005</v>
      </c>
      <c r="E565">
        <v>740.73999000000003</v>
      </c>
      <c r="F565">
        <v>740.73999000000003</v>
      </c>
      <c r="G565">
        <v>9089170000</v>
      </c>
      <c r="H565" s="93">
        <f t="shared" si="29"/>
        <v>1.073376151732637</v>
      </c>
      <c r="I565">
        <f t="shared" si="31"/>
        <v>1.250507997179477</v>
      </c>
      <c r="J565">
        <f t="shared" si="30"/>
        <v>2.8950042777253691E-2</v>
      </c>
      <c r="K565" s="91">
        <v>35400</v>
      </c>
      <c r="Q565">
        <v>1160393.3560052915</v>
      </c>
    </row>
    <row r="566" spans="1:17">
      <c r="A566" s="91">
        <v>35431</v>
      </c>
      <c r="B566">
        <v>740.73999000000003</v>
      </c>
      <c r="C566">
        <v>794.669983</v>
      </c>
      <c r="D566">
        <v>729.54998799999998</v>
      </c>
      <c r="E566">
        <v>786.15997300000004</v>
      </c>
      <c r="F566">
        <v>786.15997300000004</v>
      </c>
      <c r="G566">
        <v>11635830000</v>
      </c>
      <c r="H566" s="93">
        <f t="shared" si="29"/>
        <v>0.97849458459500183</v>
      </c>
      <c r="I566">
        <f t="shared" si="31"/>
        <v>1.2026366606894561</v>
      </c>
      <c r="J566">
        <f t="shared" si="30"/>
        <v>3.1254489053492734E-2</v>
      </c>
      <c r="K566" s="91">
        <v>35431</v>
      </c>
      <c r="Q566">
        <v>1572827.3414930869</v>
      </c>
    </row>
    <row r="567" spans="1:17">
      <c r="A567" s="91">
        <v>35462</v>
      </c>
      <c r="B567">
        <v>786.15997300000004</v>
      </c>
      <c r="C567">
        <v>817.67999299999997</v>
      </c>
      <c r="D567">
        <v>773.42999299999997</v>
      </c>
      <c r="E567">
        <v>790.82000700000003</v>
      </c>
      <c r="F567">
        <v>790.82000700000003</v>
      </c>
      <c r="G567">
        <v>9715930000</v>
      </c>
      <c r="H567" s="93">
        <f t="shared" si="29"/>
        <v>1.0613170391948192</v>
      </c>
      <c r="I567">
        <f t="shared" si="31"/>
        <v>1.2360616777440434</v>
      </c>
      <c r="J567">
        <f t="shared" si="30"/>
        <v>3.3652936892125056E-2</v>
      </c>
      <c r="K567" s="91">
        <v>35462</v>
      </c>
      <c r="Q567">
        <v>11594027.805225929</v>
      </c>
    </row>
    <row r="568" spans="1:17">
      <c r="A568" s="91">
        <v>35490</v>
      </c>
      <c r="B568">
        <v>790.82000700000003</v>
      </c>
      <c r="C568">
        <v>814.90002400000003</v>
      </c>
      <c r="D568">
        <v>756.13000499999998</v>
      </c>
      <c r="E568">
        <v>757.11999500000002</v>
      </c>
      <c r="F568">
        <v>757.11999500000002</v>
      </c>
      <c r="G568">
        <v>10120760000</v>
      </c>
      <c r="H568" s="93">
        <f t="shared" si="29"/>
        <v>1.0059275900071805</v>
      </c>
      <c r="I568">
        <f t="shared" si="31"/>
        <v>1.2348266253045399</v>
      </c>
      <c r="J568">
        <f t="shared" si="30"/>
        <v>3.3685146084551011E-2</v>
      </c>
      <c r="K568" s="91">
        <v>35490</v>
      </c>
      <c r="Q568">
        <v>2176932.9976199246</v>
      </c>
    </row>
    <row r="569" spans="1:17">
      <c r="A569" s="91">
        <v>35521</v>
      </c>
      <c r="B569">
        <v>757.11999500000002</v>
      </c>
      <c r="C569">
        <v>804.13000499999998</v>
      </c>
      <c r="D569">
        <v>733.53997800000002</v>
      </c>
      <c r="E569">
        <v>801.34002699999996</v>
      </c>
      <c r="F569">
        <v>801.34002699999996</v>
      </c>
      <c r="G569">
        <v>10454880000</v>
      </c>
      <c r="H569" s="93">
        <f t="shared" si="29"/>
        <v>0.95738598960357357</v>
      </c>
      <c r="I569">
        <f t="shared" si="31"/>
        <v>1.1729202091402013</v>
      </c>
      <c r="J569">
        <f t="shared" si="30"/>
        <v>3.797842512055024E-2</v>
      </c>
      <c r="K569" s="91">
        <v>35521</v>
      </c>
      <c r="Q569">
        <v>11297698.587553184</v>
      </c>
    </row>
    <row r="570" spans="1:17">
      <c r="A570" s="91">
        <v>35551</v>
      </c>
      <c r="B570">
        <v>801.34002699999996</v>
      </c>
      <c r="C570">
        <v>851.86999500000002</v>
      </c>
      <c r="D570">
        <v>793.21002199999998</v>
      </c>
      <c r="E570">
        <v>848.28002900000001</v>
      </c>
      <c r="F570">
        <v>848.28002900000001</v>
      </c>
      <c r="G570">
        <v>10106650000</v>
      </c>
      <c r="H570" s="93">
        <f t="shared" si="29"/>
        <v>1.058405579422057</v>
      </c>
      <c r="I570">
        <f t="shared" si="31"/>
        <v>1.2249721751601677</v>
      </c>
      <c r="J570">
        <f t="shared" si="30"/>
        <v>4.0074764029243835E-2</v>
      </c>
      <c r="K570" s="91">
        <v>35551</v>
      </c>
      <c r="Q570">
        <v>5682906.9635226727</v>
      </c>
    </row>
    <row r="571" spans="1:17">
      <c r="A571" s="91">
        <v>35582</v>
      </c>
      <c r="B571">
        <v>848.28002900000001</v>
      </c>
      <c r="C571">
        <v>902.09002699999996</v>
      </c>
      <c r="D571">
        <v>838.82000700000003</v>
      </c>
      <c r="E571">
        <v>885.14001499999995</v>
      </c>
      <c r="F571">
        <v>885.14001499999995</v>
      </c>
      <c r="G571">
        <v>10857950000</v>
      </c>
      <c r="H571" s="93">
        <f t="shared" si="29"/>
        <v>1.058576884241925</v>
      </c>
      <c r="I571">
        <f t="shared" si="31"/>
        <v>1.2677547156545517</v>
      </c>
      <c r="J571">
        <f t="shared" si="30"/>
        <v>4.1776456220627631E-2</v>
      </c>
      <c r="K571" s="91">
        <v>35582</v>
      </c>
      <c r="Q571">
        <v>2125491.2011199249</v>
      </c>
    </row>
    <row r="572" spans="1:17">
      <c r="A572" s="91">
        <v>35612</v>
      </c>
      <c r="B572">
        <v>885.14001499999995</v>
      </c>
      <c r="C572">
        <v>957.72997999999995</v>
      </c>
      <c r="D572">
        <v>884.53997800000002</v>
      </c>
      <c r="E572">
        <v>954.30999799999995</v>
      </c>
      <c r="F572">
        <v>954.30999799999995</v>
      </c>
      <c r="G572">
        <v>11958120000</v>
      </c>
      <c r="H572" s="93">
        <f t="shared" si="29"/>
        <v>1.0434526155748975</v>
      </c>
      <c r="I572">
        <f t="shared" si="31"/>
        <v>1.3198634245421215</v>
      </c>
      <c r="J572">
        <f t="shared" si="30"/>
        <v>4.1810418477826794E-2</v>
      </c>
      <c r="K572" s="91">
        <v>35612</v>
      </c>
      <c r="Q572">
        <v>8343409.4015420293</v>
      </c>
    </row>
    <row r="573" spans="1:17">
      <c r="A573" s="91">
        <v>35643</v>
      </c>
      <c r="B573">
        <v>954.28997800000002</v>
      </c>
      <c r="C573">
        <v>964.169983</v>
      </c>
      <c r="D573">
        <v>893.34002699999996</v>
      </c>
      <c r="E573">
        <v>899.46997099999999</v>
      </c>
      <c r="F573">
        <v>899.46997099999999</v>
      </c>
      <c r="G573">
        <v>10606100000</v>
      </c>
      <c r="H573" s="93">
        <f t="shared" si="29"/>
        <v>1.0781231916173173</v>
      </c>
      <c r="I573">
        <f t="shared" si="31"/>
        <v>1.4911945622402769</v>
      </c>
      <c r="J573">
        <f t="shared" si="30"/>
        <v>3.8099723103628129E-2</v>
      </c>
      <c r="K573" s="91">
        <v>35643</v>
      </c>
      <c r="Q573">
        <v>7168347.0008664792</v>
      </c>
    </row>
    <row r="574" spans="1:17">
      <c r="A574" s="91">
        <v>35674</v>
      </c>
      <c r="B574">
        <v>899.46997099999999</v>
      </c>
      <c r="C574">
        <v>960.59002699999996</v>
      </c>
      <c r="D574">
        <v>899.46997099999999</v>
      </c>
      <c r="E574">
        <v>947.28002900000001</v>
      </c>
      <c r="F574">
        <v>947.28002900000001</v>
      </c>
      <c r="G574">
        <v>11383000000</v>
      </c>
      <c r="H574" s="93">
        <f t="shared" si="29"/>
        <v>0.94255414154627115</v>
      </c>
      <c r="I574">
        <f t="shared" si="31"/>
        <v>1.3795763505510259</v>
      </c>
      <c r="J574">
        <f t="shared" si="30"/>
        <v>4.6410311445514101E-2</v>
      </c>
      <c r="K574" s="91">
        <v>35674</v>
      </c>
      <c r="Q574">
        <v>5298129.5793393739</v>
      </c>
    </row>
    <row r="575" spans="1:17">
      <c r="A575" s="91">
        <v>35704</v>
      </c>
      <c r="B575">
        <v>947.28002900000001</v>
      </c>
      <c r="C575">
        <v>983.11999500000002</v>
      </c>
      <c r="D575">
        <v>855.27002000000005</v>
      </c>
      <c r="E575">
        <v>914.61999500000002</v>
      </c>
      <c r="F575">
        <v>914.61999500000002</v>
      </c>
      <c r="G575">
        <v>14017260000</v>
      </c>
      <c r="H575" s="93">
        <f t="shared" si="29"/>
        <v>1.0531535899379125</v>
      </c>
      <c r="I575">
        <f t="shared" si="31"/>
        <v>1.3782427605541685</v>
      </c>
      <c r="J575">
        <f t="shared" si="30"/>
        <v>4.6359291578741732E-2</v>
      </c>
      <c r="K575" s="91">
        <v>35704</v>
      </c>
      <c r="Q575">
        <v>9167690.3490853608</v>
      </c>
    </row>
    <row r="576" spans="1:17">
      <c r="A576" s="91">
        <v>35735</v>
      </c>
      <c r="B576">
        <v>914.61999500000002</v>
      </c>
      <c r="C576">
        <v>964.54998799999998</v>
      </c>
      <c r="D576">
        <v>900.60998500000005</v>
      </c>
      <c r="E576">
        <v>955.40002400000003</v>
      </c>
      <c r="F576">
        <v>955.40002400000003</v>
      </c>
      <c r="G576">
        <v>10173620000</v>
      </c>
      <c r="H576" s="93">
        <f t="shared" si="29"/>
        <v>0.96552230280366225</v>
      </c>
      <c r="I576">
        <f t="shared" si="31"/>
        <v>1.2968366286149522</v>
      </c>
      <c r="J576">
        <f t="shared" si="30"/>
        <v>4.9766681986833393E-2</v>
      </c>
      <c r="K576" s="91">
        <v>35735</v>
      </c>
      <c r="Q576">
        <v>1718836.316131525</v>
      </c>
    </row>
    <row r="577" spans="1:17">
      <c r="A577" s="91">
        <v>35765</v>
      </c>
      <c r="B577">
        <v>955.40002400000003</v>
      </c>
      <c r="C577">
        <v>986.25</v>
      </c>
      <c r="D577">
        <v>924.919983</v>
      </c>
      <c r="E577">
        <v>970.42999299999997</v>
      </c>
      <c r="F577">
        <v>970.42999299999997</v>
      </c>
      <c r="G577">
        <v>11958880000</v>
      </c>
      <c r="H577" s="93">
        <f t="shared" si="29"/>
        <v>1.0445868548937638</v>
      </c>
      <c r="I577">
        <f t="shared" si="31"/>
        <v>1.2620538410595799</v>
      </c>
      <c r="J577">
        <f t="shared" si="30"/>
        <v>4.7772667970126782E-2</v>
      </c>
      <c r="K577" s="91">
        <v>35765</v>
      </c>
      <c r="Q577">
        <v>3751110.6657897756</v>
      </c>
    </row>
    <row r="578" spans="1:17">
      <c r="A578" s="91">
        <v>35796</v>
      </c>
      <c r="B578">
        <v>970.42999299999997</v>
      </c>
      <c r="C578">
        <v>992.65002400000003</v>
      </c>
      <c r="D578">
        <v>912.830017</v>
      </c>
      <c r="E578">
        <v>980.28002900000001</v>
      </c>
      <c r="F578">
        <v>980.28002900000001</v>
      </c>
      <c r="G578">
        <v>12733830000</v>
      </c>
      <c r="H578" s="93">
        <f t="shared" si="29"/>
        <v>1.015731597888258</v>
      </c>
      <c r="I578">
        <f t="shared" si="31"/>
        <v>1.3100818183179228</v>
      </c>
      <c r="J578">
        <f t="shared" si="30"/>
        <v>4.5962363540687737E-2</v>
      </c>
      <c r="K578" s="91">
        <v>35796</v>
      </c>
      <c r="Q578">
        <v>1997005.5322759936</v>
      </c>
    </row>
    <row r="579" spans="1:17">
      <c r="A579" s="91">
        <v>35827</v>
      </c>
      <c r="B579">
        <v>980.28002900000001</v>
      </c>
      <c r="C579">
        <v>1051.660034</v>
      </c>
      <c r="D579">
        <v>980.28002900000001</v>
      </c>
      <c r="E579">
        <v>1049.339966</v>
      </c>
      <c r="F579">
        <v>1049.339966</v>
      </c>
      <c r="G579">
        <v>11656550000</v>
      </c>
      <c r="H579" s="93">
        <f t="shared" si="29"/>
        <v>1.0101501767989975</v>
      </c>
      <c r="I579">
        <f t="shared" si="31"/>
        <v>1.2469218259220634</v>
      </c>
      <c r="J579">
        <f t="shared" si="30"/>
        <v>4.4508620196628254E-2</v>
      </c>
      <c r="K579" s="91">
        <v>35827</v>
      </c>
      <c r="Q579">
        <v>3076095.5102498801</v>
      </c>
    </row>
    <row r="580" spans="1:17">
      <c r="A580" s="91">
        <v>35855</v>
      </c>
      <c r="B580">
        <v>1049.339966</v>
      </c>
      <c r="C580">
        <v>1113.0699460000001</v>
      </c>
      <c r="D580">
        <v>1030.869995</v>
      </c>
      <c r="E580">
        <v>1101.75</v>
      </c>
      <c r="F580">
        <v>1101.75</v>
      </c>
      <c r="G580">
        <v>13719590000</v>
      </c>
      <c r="H580" s="93">
        <f t="shared" ref="H580:H643" si="32">B580/B579</f>
        <v>1.0704491930437972</v>
      </c>
      <c r="I580">
        <f t="shared" si="31"/>
        <v>1.3269011364301511</v>
      </c>
      <c r="J580">
        <f t="shared" si="30"/>
        <v>4.6573986783891241E-2</v>
      </c>
      <c r="K580" s="91">
        <v>35855</v>
      </c>
      <c r="Q580">
        <v>1686319.9174126899</v>
      </c>
    </row>
    <row r="581" spans="1:17">
      <c r="A581" s="91">
        <v>35886</v>
      </c>
      <c r="B581">
        <v>1101.75</v>
      </c>
      <c r="C581">
        <v>1132.9799800000001</v>
      </c>
      <c r="D581">
        <v>1076.6999510000001</v>
      </c>
      <c r="E581">
        <v>1111.75</v>
      </c>
      <c r="F581">
        <v>1111.75</v>
      </c>
      <c r="G581">
        <v>13656060000</v>
      </c>
      <c r="H581" s="93">
        <f t="shared" si="32"/>
        <v>1.0499457141614295</v>
      </c>
      <c r="I581">
        <f t="shared" si="31"/>
        <v>1.4551854491704448</v>
      </c>
      <c r="J581">
        <f t="shared" si="30"/>
        <v>4.18075930958028E-2</v>
      </c>
      <c r="K581" s="91">
        <v>35886</v>
      </c>
      <c r="Q581">
        <v>3678413.8534151036</v>
      </c>
    </row>
    <row r="582" spans="1:17">
      <c r="A582" s="91">
        <v>35916</v>
      </c>
      <c r="B582">
        <v>1111.75</v>
      </c>
      <c r="C582">
        <v>1130.5200199999999</v>
      </c>
      <c r="D582">
        <v>1074.3900149999999</v>
      </c>
      <c r="E582">
        <v>1090.8199460000001</v>
      </c>
      <c r="F582">
        <v>1090.8199460000001</v>
      </c>
      <c r="G582">
        <v>11477140000</v>
      </c>
      <c r="H582" s="93">
        <f t="shared" si="32"/>
        <v>1.0090764692534604</v>
      </c>
      <c r="I582">
        <f t="shared" si="31"/>
        <v>1.3873636191144612</v>
      </c>
      <c r="J582">
        <f t="shared" si="30"/>
        <v>4.1458374557494376E-2</v>
      </c>
      <c r="K582" s="91">
        <v>35916</v>
      </c>
      <c r="Q582">
        <v>3937535.6605448225</v>
      </c>
    </row>
    <row r="583" spans="1:17">
      <c r="A583" s="91">
        <v>35947</v>
      </c>
      <c r="B583">
        <v>1090.8199460000001</v>
      </c>
      <c r="C583">
        <v>1145.150024</v>
      </c>
      <c r="D583">
        <v>1074.670044</v>
      </c>
      <c r="E583">
        <v>1133.839966</v>
      </c>
      <c r="F583">
        <v>1133.839966</v>
      </c>
      <c r="G583">
        <v>13551970000</v>
      </c>
      <c r="H583" s="93">
        <f t="shared" si="32"/>
        <v>0.98117377647852488</v>
      </c>
      <c r="I583">
        <f t="shared" si="31"/>
        <v>1.2859196358611904</v>
      </c>
      <c r="J583">
        <f t="shared" si="30"/>
        <v>4.2355540901367769E-2</v>
      </c>
      <c r="K583" s="91">
        <v>35947</v>
      </c>
      <c r="Q583">
        <v>1370048.8553140955</v>
      </c>
    </row>
    <row r="584" spans="1:17">
      <c r="A584" s="91">
        <v>35977</v>
      </c>
      <c r="B584">
        <v>1133.839966</v>
      </c>
      <c r="C584">
        <v>1190.579956</v>
      </c>
      <c r="D584">
        <v>1114.3000489999999</v>
      </c>
      <c r="E584">
        <v>1120.670044</v>
      </c>
      <c r="F584">
        <v>1120.670044</v>
      </c>
      <c r="G584">
        <v>14194800000</v>
      </c>
      <c r="H584" s="93">
        <f t="shared" si="32"/>
        <v>1.0394382410752141</v>
      </c>
      <c r="I584">
        <f t="shared" si="31"/>
        <v>1.2809724414052166</v>
      </c>
      <c r="J584">
        <f t="shared" si="30"/>
        <v>4.2186157921764771E-2</v>
      </c>
      <c r="K584" s="91">
        <v>35977</v>
      </c>
      <c r="Q584">
        <v>2154241.3514437382</v>
      </c>
    </row>
    <row r="585" spans="1:17">
      <c r="A585" s="91">
        <v>36008</v>
      </c>
      <c r="B585">
        <v>1120.670044</v>
      </c>
      <c r="C585">
        <v>1121.790039</v>
      </c>
      <c r="D585">
        <v>957.28002900000001</v>
      </c>
      <c r="E585">
        <v>957.28002900000001</v>
      </c>
      <c r="F585">
        <v>957.28002900000001</v>
      </c>
      <c r="G585">
        <v>15071550000</v>
      </c>
      <c r="H585" s="93">
        <f t="shared" si="32"/>
        <v>0.98838467297421051</v>
      </c>
      <c r="I585">
        <f t="shared" si="31"/>
        <v>1.1743495895751721</v>
      </c>
      <c r="J585">
        <f t="shared" si="30"/>
        <v>3.9108523148256163E-2</v>
      </c>
      <c r="K585" s="91">
        <v>36008</v>
      </c>
      <c r="Q585">
        <v>3379490.5770768807</v>
      </c>
    </row>
    <row r="586" spans="1:17">
      <c r="A586" s="91">
        <v>36039</v>
      </c>
      <c r="B586">
        <v>957.28002900000001</v>
      </c>
      <c r="C586">
        <v>1066.1099850000001</v>
      </c>
      <c r="D586">
        <v>939.97997999999995</v>
      </c>
      <c r="E586">
        <v>1017.01001</v>
      </c>
      <c r="F586">
        <v>1017.01001</v>
      </c>
      <c r="G586">
        <v>16714080000</v>
      </c>
      <c r="H586" s="93">
        <f t="shared" si="32"/>
        <v>0.85420328144329349</v>
      </c>
      <c r="I586">
        <f t="shared" si="31"/>
        <v>1.0642712484728409</v>
      </c>
      <c r="J586">
        <f t="shared" si="30"/>
        <v>5.7710987503473483E-2</v>
      </c>
      <c r="K586" s="91">
        <v>36039</v>
      </c>
      <c r="Q586">
        <v>9913165.0165682193</v>
      </c>
    </row>
    <row r="587" spans="1:17">
      <c r="A587" s="91">
        <v>36069</v>
      </c>
      <c r="B587">
        <v>1017.01001</v>
      </c>
      <c r="C587">
        <v>1103.780029</v>
      </c>
      <c r="D587">
        <v>923.32000700000003</v>
      </c>
      <c r="E587">
        <v>1098.670044</v>
      </c>
      <c r="F587">
        <v>1098.670044</v>
      </c>
      <c r="G587">
        <v>18001650000</v>
      </c>
      <c r="H587" s="93">
        <f t="shared" si="32"/>
        <v>1.0623955156177189</v>
      </c>
      <c r="I587">
        <f t="shared" si="31"/>
        <v>1.0736107369154724</v>
      </c>
      <c r="J587">
        <f t="shared" si="30"/>
        <v>5.8442586158209298E-2</v>
      </c>
      <c r="K587" s="91">
        <v>36069</v>
      </c>
      <c r="Q587">
        <v>4599889.0573555008</v>
      </c>
    </row>
    <row r="588" spans="1:17">
      <c r="A588" s="91">
        <v>36100</v>
      </c>
      <c r="B588">
        <v>1098.670044</v>
      </c>
      <c r="C588">
        <v>1192.969971</v>
      </c>
      <c r="D588">
        <v>1098.670044</v>
      </c>
      <c r="E588">
        <v>1163.630005</v>
      </c>
      <c r="F588">
        <v>1163.630005</v>
      </c>
      <c r="G588">
        <v>13451280000</v>
      </c>
      <c r="H588" s="93">
        <f t="shared" si="32"/>
        <v>1.0802942283724424</v>
      </c>
      <c r="I588">
        <f t="shared" si="31"/>
        <v>1.2012311670487807</v>
      </c>
      <c r="J588">
        <f t="shared" si="30"/>
        <v>6.0294592554233924E-2</v>
      </c>
      <c r="K588" s="91">
        <v>36100</v>
      </c>
      <c r="Q588">
        <v>2763107.11032541</v>
      </c>
    </row>
    <row r="589" spans="1:17">
      <c r="A589" s="91">
        <v>36130</v>
      </c>
      <c r="B589">
        <v>1163.630005</v>
      </c>
      <c r="C589">
        <v>1244.9300539999999</v>
      </c>
      <c r="D589">
        <v>1136.8900149999999</v>
      </c>
      <c r="E589">
        <v>1229.2299800000001</v>
      </c>
      <c r="F589">
        <v>1229.2299800000001</v>
      </c>
      <c r="G589">
        <v>15181450000</v>
      </c>
      <c r="H589" s="93">
        <f t="shared" si="32"/>
        <v>1.0591259963396253</v>
      </c>
      <c r="I589">
        <f t="shared" si="31"/>
        <v>1.2179505712467933</v>
      </c>
      <c r="J589">
        <f t="shared" si="30"/>
        <v>6.1037494059307328E-2</v>
      </c>
      <c r="K589" s="91">
        <v>36130</v>
      </c>
      <c r="Q589">
        <v>1012679.9395206033</v>
      </c>
    </row>
    <row r="590" spans="1:17">
      <c r="A590" s="91">
        <v>36161</v>
      </c>
      <c r="B590">
        <v>1229.2299800000001</v>
      </c>
      <c r="C590">
        <v>1280.369995</v>
      </c>
      <c r="D590">
        <v>1205.459961</v>
      </c>
      <c r="E590">
        <v>1279.6400149999999</v>
      </c>
      <c r="F590">
        <v>1279.6400149999999</v>
      </c>
      <c r="G590">
        <v>16213500000</v>
      </c>
      <c r="H590" s="93">
        <f t="shared" si="32"/>
        <v>1.0563752865757359</v>
      </c>
      <c r="I590">
        <f t="shared" si="31"/>
        <v>1.2666858906534231</v>
      </c>
      <c r="J590">
        <f t="shared" si="30"/>
        <v>6.1998237430652026E-2</v>
      </c>
      <c r="K590" s="91">
        <v>36161</v>
      </c>
      <c r="Q590">
        <v>3173736.3083063974</v>
      </c>
    </row>
    <row r="591" spans="1:17">
      <c r="A591" s="91">
        <v>36192</v>
      </c>
      <c r="B591">
        <v>1279.6400149999999</v>
      </c>
      <c r="C591">
        <v>1283.839966</v>
      </c>
      <c r="D591">
        <v>1211.8900149999999</v>
      </c>
      <c r="E591">
        <v>1238.329956</v>
      </c>
      <c r="F591">
        <v>1238.329956</v>
      </c>
      <c r="G591">
        <v>14555860000</v>
      </c>
      <c r="H591" s="93">
        <f t="shared" si="32"/>
        <v>1.0410094415367253</v>
      </c>
      <c r="I591">
        <f t="shared" si="31"/>
        <v>1.3053821124004557</v>
      </c>
      <c r="J591">
        <f t="shared" ref="J591:J654" si="33">_xlfn.STDEV.S(H580:H591)</f>
        <v>6.2113198472731133E-2</v>
      </c>
      <c r="K591" s="91">
        <v>36192</v>
      </c>
      <c r="Q591">
        <v>5525451.9623606494</v>
      </c>
    </row>
    <row r="592" spans="1:17">
      <c r="A592" s="91">
        <v>36220</v>
      </c>
      <c r="B592">
        <v>1238.329956</v>
      </c>
      <c r="C592">
        <v>1323.8199460000001</v>
      </c>
      <c r="D592">
        <v>1216.030029</v>
      </c>
      <c r="E592">
        <v>1286.369995</v>
      </c>
      <c r="F592">
        <v>1286.369995</v>
      </c>
      <c r="G592">
        <v>18002500000</v>
      </c>
      <c r="H592" s="93">
        <f t="shared" si="32"/>
        <v>0.96771743731380588</v>
      </c>
      <c r="I592">
        <f t="shared" ref="I592:I655" si="34">B592/B580</f>
        <v>1.1801036805263547</v>
      </c>
      <c r="J592">
        <f t="shared" si="33"/>
        <v>6.2257202298931315E-2</v>
      </c>
      <c r="K592" s="91">
        <v>36220</v>
      </c>
      <c r="Q592">
        <v>1380607.4903423018</v>
      </c>
    </row>
    <row r="593" spans="1:17">
      <c r="A593" s="91">
        <v>36251</v>
      </c>
      <c r="B593">
        <v>1286.369995</v>
      </c>
      <c r="C593">
        <v>1371.5600589999999</v>
      </c>
      <c r="D593">
        <v>1282.5600589999999</v>
      </c>
      <c r="E593">
        <v>1335.1800539999999</v>
      </c>
      <c r="F593">
        <v>1335.1800539999999</v>
      </c>
      <c r="G593">
        <v>18523200000</v>
      </c>
      <c r="H593" s="93">
        <f t="shared" si="32"/>
        <v>1.0387942153601588</v>
      </c>
      <c r="I593">
        <f t="shared" si="34"/>
        <v>1.1675697708191515</v>
      </c>
      <c r="J593">
        <f t="shared" si="33"/>
        <v>6.1781975846909705E-2</v>
      </c>
      <c r="K593" s="91">
        <v>36251</v>
      </c>
      <c r="Q593">
        <v>1054531.0480171726</v>
      </c>
    </row>
    <row r="594" spans="1:17">
      <c r="A594" s="91">
        <v>36281</v>
      </c>
      <c r="B594">
        <v>1335.1800539999999</v>
      </c>
      <c r="C594">
        <v>1375.9799800000001</v>
      </c>
      <c r="D594">
        <v>1277.3100589999999</v>
      </c>
      <c r="E594">
        <v>1301.839966</v>
      </c>
      <c r="F594">
        <v>1301.839966</v>
      </c>
      <c r="G594">
        <v>15880260000</v>
      </c>
      <c r="H594" s="93">
        <f t="shared" si="32"/>
        <v>1.0379440279155454</v>
      </c>
      <c r="I594">
        <f t="shared" si="34"/>
        <v>1.2009714899932538</v>
      </c>
      <c r="J594">
        <f t="shared" si="33"/>
        <v>6.2098683211548621E-2</v>
      </c>
      <c r="K594" s="91">
        <v>36281</v>
      </c>
      <c r="Q594">
        <v>6381237.7893649973</v>
      </c>
    </row>
    <row r="595" spans="1:17">
      <c r="A595" s="91">
        <v>36312</v>
      </c>
      <c r="B595">
        <v>1301.839966</v>
      </c>
      <c r="C595">
        <v>1372.9300539999999</v>
      </c>
      <c r="D595">
        <v>1277.469971</v>
      </c>
      <c r="E595">
        <v>1372.709961</v>
      </c>
      <c r="F595">
        <v>1372.709961</v>
      </c>
      <c r="G595">
        <v>16079170000</v>
      </c>
      <c r="H595" s="93">
        <f t="shared" si="32"/>
        <v>0.97502951912731317</v>
      </c>
      <c r="I595">
        <f t="shared" si="34"/>
        <v>1.1934508263933046</v>
      </c>
      <c r="J595">
        <f t="shared" si="33"/>
        <v>6.2447427193849978E-2</v>
      </c>
      <c r="K595" s="91">
        <v>36312</v>
      </c>
      <c r="Q595">
        <v>4194553.1847576248</v>
      </c>
    </row>
    <row r="596" spans="1:17">
      <c r="A596" s="91">
        <v>36342</v>
      </c>
      <c r="B596">
        <v>1372.709961</v>
      </c>
      <c r="C596">
        <v>1420.329956</v>
      </c>
      <c r="D596">
        <v>1328.48999</v>
      </c>
      <c r="E596">
        <v>1328.719971</v>
      </c>
      <c r="F596">
        <v>1328.719971</v>
      </c>
      <c r="G596">
        <v>15332930000</v>
      </c>
      <c r="H596" s="93">
        <f t="shared" si="32"/>
        <v>1.0544383310167942</v>
      </c>
      <c r="I596">
        <f t="shared" si="34"/>
        <v>1.2106734655356115</v>
      </c>
      <c r="J596">
        <f t="shared" si="33"/>
        <v>6.3090207370458978E-2</v>
      </c>
      <c r="K596" s="91">
        <v>36342</v>
      </c>
      <c r="Q596">
        <v>2529584.7514749174</v>
      </c>
    </row>
    <row r="597" spans="1:17">
      <c r="A597" s="91">
        <v>36373</v>
      </c>
      <c r="B597">
        <v>1328.719971</v>
      </c>
      <c r="C597">
        <v>1382.839966</v>
      </c>
      <c r="D597">
        <v>1267.7299800000001</v>
      </c>
      <c r="E597">
        <v>1320.410034</v>
      </c>
      <c r="F597">
        <v>1320.410034</v>
      </c>
      <c r="G597">
        <v>15818550000</v>
      </c>
      <c r="H597" s="93">
        <f t="shared" si="32"/>
        <v>0.96795390778110624</v>
      </c>
      <c r="I597">
        <f t="shared" si="34"/>
        <v>1.185647798934117</v>
      </c>
      <c r="J597">
        <f t="shared" si="33"/>
        <v>6.4226796420454216E-2</v>
      </c>
      <c r="K597" s="91">
        <v>36373</v>
      </c>
      <c r="Q597">
        <v>2742703.6441758773</v>
      </c>
    </row>
    <row r="598" spans="1:17">
      <c r="A598" s="91">
        <v>36404</v>
      </c>
      <c r="B598">
        <v>1320.410034</v>
      </c>
      <c r="C598">
        <v>1361.3900149999999</v>
      </c>
      <c r="D598">
        <v>1256.26001</v>
      </c>
      <c r="E598">
        <v>1282.709961</v>
      </c>
      <c r="F598">
        <v>1282.709961</v>
      </c>
      <c r="G598">
        <v>16438700000</v>
      </c>
      <c r="H598" s="93">
        <f t="shared" si="32"/>
        <v>0.99374590795549955</v>
      </c>
      <c r="I598">
        <f t="shared" si="34"/>
        <v>1.3793351934640641</v>
      </c>
      <c r="J598">
        <f t="shared" si="33"/>
        <v>4.0445217697653808E-2</v>
      </c>
      <c r="K598" s="91">
        <v>36404</v>
      </c>
      <c r="Q598">
        <v>4594010.4482739754</v>
      </c>
    </row>
    <row r="599" spans="1:17">
      <c r="A599" s="91">
        <v>36434</v>
      </c>
      <c r="B599">
        <v>1282.709961</v>
      </c>
      <c r="C599">
        <v>1373.170044</v>
      </c>
      <c r="D599">
        <v>1233.6999510000001</v>
      </c>
      <c r="E599">
        <v>1362.9300539999999</v>
      </c>
      <c r="F599">
        <v>1362.9300539999999</v>
      </c>
      <c r="G599">
        <v>18832000000</v>
      </c>
      <c r="H599" s="93">
        <f t="shared" si="32"/>
        <v>0.97144820773150842</v>
      </c>
      <c r="I599">
        <f t="shared" si="34"/>
        <v>1.2612559840979343</v>
      </c>
      <c r="J599">
        <f t="shared" si="33"/>
        <v>4.1889370333194169E-2</v>
      </c>
      <c r="K599" s="91">
        <v>36434</v>
      </c>
      <c r="Q599">
        <v>3247602.058809449</v>
      </c>
    </row>
    <row r="600" spans="1:17">
      <c r="A600" s="91">
        <v>36465</v>
      </c>
      <c r="B600">
        <v>1362.9300539999999</v>
      </c>
      <c r="C600">
        <v>1425.3100589999999</v>
      </c>
      <c r="D600">
        <v>1346.410034</v>
      </c>
      <c r="E600">
        <v>1388.910034</v>
      </c>
      <c r="F600">
        <v>1388.910034</v>
      </c>
      <c r="G600">
        <v>18384820000</v>
      </c>
      <c r="H600" s="93">
        <f t="shared" si="32"/>
        <v>1.0625395416259653</v>
      </c>
      <c r="I600">
        <f t="shared" si="34"/>
        <v>1.2405271823357369</v>
      </c>
      <c r="J600">
        <f t="shared" si="33"/>
        <v>3.9842112708232139E-2</v>
      </c>
      <c r="K600" s="91">
        <v>36465</v>
      </c>
      <c r="Q600">
        <v>2569535.420249409</v>
      </c>
    </row>
    <row r="601" spans="1:17">
      <c r="A601" s="91">
        <v>36495</v>
      </c>
      <c r="B601">
        <v>1388.910034</v>
      </c>
      <c r="C601">
        <v>1473.099976</v>
      </c>
      <c r="D601">
        <v>1387.380005</v>
      </c>
      <c r="E601">
        <v>1469.25</v>
      </c>
      <c r="F601">
        <v>1469.25</v>
      </c>
      <c r="G601">
        <v>19640690000</v>
      </c>
      <c r="H601" s="93">
        <f t="shared" si="32"/>
        <v>1.0190618586212496</v>
      </c>
      <c r="I601">
        <f t="shared" si="34"/>
        <v>1.1936010828459171</v>
      </c>
      <c r="J601">
        <f t="shared" si="33"/>
        <v>3.7785205262189127E-2</v>
      </c>
      <c r="K601" s="91">
        <v>36495</v>
      </c>
      <c r="Q601">
        <v>8696596.3378691617</v>
      </c>
    </row>
    <row r="602" spans="1:17">
      <c r="A602" s="91">
        <v>36526</v>
      </c>
      <c r="B602">
        <v>1469.25</v>
      </c>
      <c r="C602">
        <v>1478</v>
      </c>
      <c r="D602">
        <v>1350.1400149999999</v>
      </c>
      <c r="E602">
        <v>1394.459961</v>
      </c>
      <c r="F602">
        <v>1394.459961</v>
      </c>
      <c r="G602">
        <v>21494400000</v>
      </c>
      <c r="H602" s="93">
        <f t="shared" si="32"/>
        <v>1.0578438948767794</v>
      </c>
      <c r="I602">
        <f t="shared" si="34"/>
        <v>1.1952604670445801</v>
      </c>
      <c r="J602">
        <f t="shared" si="33"/>
        <v>3.7931710925877146E-2</v>
      </c>
      <c r="K602" s="91">
        <v>36526</v>
      </c>
      <c r="Q602">
        <v>2662033.8824616149</v>
      </c>
    </row>
    <row r="603" spans="1:17">
      <c r="A603" s="91">
        <v>36557</v>
      </c>
      <c r="B603">
        <v>1394.459961</v>
      </c>
      <c r="C603">
        <v>1444.5500489999999</v>
      </c>
      <c r="D603">
        <v>1325.0699460000001</v>
      </c>
      <c r="E603">
        <v>1366.420044</v>
      </c>
      <c r="F603">
        <v>1366.420044</v>
      </c>
      <c r="G603">
        <v>20912000000</v>
      </c>
      <c r="H603" s="93">
        <f t="shared" si="32"/>
        <v>0.94909645125063813</v>
      </c>
      <c r="I603">
        <f t="shared" si="34"/>
        <v>1.0897283178503918</v>
      </c>
      <c r="J603">
        <f t="shared" si="33"/>
        <v>4.1456485936233266E-2</v>
      </c>
      <c r="K603" s="91">
        <v>36557</v>
      </c>
      <c r="Q603">
        <v>9529464.941854652</v>
      </c>
    </row>
    <row r="604" spans="1:17">
      <c r="A604" s="91">
        <v>36586</v>
      </c>
      <c r="B604">
        <v>1366.420044</v>
      </c>
      <c r="C604">
        <v>1552.869995</v>
      </c>
      <c r="D604">
        <v>1346.619995</v>
      </c>
      <c r="E604">
        <v>1498.579956</v>
      </c>
      <c r="F604">
        <v>1498.579956</v>
      </c>
      <c r="G604">
        <v>26156200000</v>
      </c>
      <c r="H604" s="93">
        <f t="shared" si="32"/>
        <v>0.97989191673894172</v>
      </c>
      <c r="I604">
        <f t="shared" si="34"/>
        <v>1.1034377690528872</v>
      </c>
      <c r="J604">
        <f t="shared" si="33"/>
        <v>4.0520314909810479E-2</v>
      </c>
      <c r="K604" s="91">
        <v>36586</v>
      </c>
      <c r="Q604">
        <v>9630205.0231724083</v>
      </c>
    </row>
    <row r="605" spans="1:17">
      <c r="A605" s="91">
        <v>36617</v>
      </c>
      <c r="B605">
        <v>1498.579956</v>
      </c>
      <c r="C605">
        <v>1527.1899410000001</v>
      </c>
      <c r="D605">
        <v>1339.400024</v>
      </c>
      <c r="E605">
        <v>1452.4300539999999</v>
      </c>
      <c r="F605">
        <v>1452.4300539999999</v>
      </c>
      <c r="G605">
        <v>20106460000</v>
      </c>
      <c r="H605" s="93">
        <f t="shared" si="32"/>
        <v>1.0967198282697324</v>
      </c>
      <c r="I605">
        <f t="shared" si="34"/>
        <v>1.164968058820433</v>
      </c>
      <c r="J605">
        <f t="shared" si="33"/>
        <v>4.7280941996369313E-2</v>
      </c>
      <c r="K605" s="91">
        <v>36617</v>
      </c>
      <c r="Q605">
        <v>6500244.8368744962</v>
      </c>
    </row>
    <row r="606" spans="1:17">
      <c r="A606" s="91">
        <v>36647</v>
      </c>
      <c r="B606">
        <v>1452.4300539999999</v>
      </c>
      <c r="C606">
        <v>1481.51001</v>
      </c>
      <c r="D606">
        <v>1361.089966</v>
      </c>
      <c r="E606">
        <v>1420.599976</v>
      </c>
      <c r="F606">
        <v>1420.599976</v>
      </c>
      <c r="G606">
        <v>19898300000</v>
      </c>
      <c r="H606" s="93">
        <f t="shared" si="32"/>
        <v>0.96920424444806863</v>
      </c>
      <c r="I606">
        <f t="shared" si="34"/>
        <v>1.087815871461483</v>
      </c>
      <c r="J606">
        <f t="shared" si="33"/>
        <v>4.8245344112681381E-2</v>
      </c>
      <c r="K606" s="91">
        <v>36647</v>
      </c>
      <c r="Q606">
        <v>734752.89496068412</v>
      </c>
    </row>
    <row r="607" spans="1:17">
      <c r="A607" s="91">
        <v>36678</v>
      </c>
      <c r="B607">
        <v>1420.599976</v>
      </c>
      <c r="C607">
        <v>1488.9300539999999</v>
      </c>
      <c r="D607">
        <v>1420.599976</v>
      </c>
      <c r="E607">
        <v>1454.599976</v>
      </c>
      <c r="F607">
        <v>1454.599976</v>
      </c>
      <c r="G607">
        <v>21738300000</v>
      </c>
      <c r="H607" s="93">
        <f t="shared" si="32"/>
        <v>0.97808494948700642</v>
      </c>
      <c r="I607">
        <f t="shared" si="34"/>
        <v>1.0912247381411242</v>
      </c>
      <c r="J607">
        <f t="shared" si="33"/>
        <v>4.8062770870968941E-2</v>
      </c>
      <c r="K607" s="91">
        <v>36678</v>
      </c>
      <c r="Q607">
        <v>2657213.4421715601</v>
      </c>
    </row>
    <row r="608" spans="1:17">
      <c r="A608" s="91">
        <v>36708</v>
      </c>
      <c r="B608">
        <v>1454.599976</v>
      </c>
      <c r="C608">
        <v>1517.3199460000001</v>
      </c>
      <c r="D608">
        <v>1413.8900149999999</v>
      </c>
      <c r="E608">
        <v>1430.829956</v>
      </c>
      <c r="F608">
        <v>1430.829956</v>
      </c>
      <c r="G608">
        <v>19089100000</v>
      </c>
      <c r="H608" s="93">
        <f t="shared" si="32"/>
        <v>1.0239335496089013</v>
      </c>
      <c r="I608">
        <f t="shared" si="34"/>
        <v>1.0596557301444394</v>
      </c>
      <c r="J608">
        <f t="shared" si="33"/>
        <v>4.6172234690650626E-2</v>
      </c>
      <c r="K608" s="91">
        <v>36708</v>
      </c>
      <c r="Q608">
        <v>4185676.5041691451</v>
      </c>
    </row>
    <row r="609" spans="1:17">
      <c r="A609" s="91">
        <v>36739</v>
      </c>
      <c r="B609">
        <v>1430.829956</v>
      </c>
      <c r="C609">
        <v>1525.209961</v>
      </c>
      <c r="D609">
        <v>1425.4300539999999</v>
      </c>
      <c r="E609">
        <v>1517.6800539999999</v>
      </c>
      <c r="F609">
        <v>1517.6800539999999</v>
      </c>
      <c r="G609">
        <v>20363700000</v>
      </c>
      <c r="H609" s="93">
        <f t="shared" si="32"/>
        <v>0.98365872377822727</v>
      </c>
      <c r="I609">
        <f t="shared" si="34"/>
        <v>1.0768483858364466</v>
      </c>
      <c r="J609">
        <f t="shared" si="33"/>
        <v>4.5214822640271761E-2</v>
      </c>
      <c r="K609" s="91">
        <v>36739</v>
      </c>
      <c r="Q609">
        <v>2348145.8084839494</v>
      </c>
    </row>
    <row r="610" spans="1:17">
      <c r="A610" s="91">
        <v>36770</v>
      </c>
      <c r="B610">
        <v>1517.6800539999999</v>
      </c>
      <c r="C610">
        <v>1530.089966</v>
      </c>
      <c r="D610">
        <v>1419.4399410000001</v>
      </c>
      <c r="E610">
        <v>1436.51001</v>
      </c>
      <c r="F610">
        <v>1436.51001</v>
      </c>
      <c r="G610">
        <v>20838300000</v>
      </c>
      <c r="H610" s="93">
        <f t="shared" si="32"/>
        <v>1.060699105184236</v>
      </c>
      <c r="I610">
        <f t="shared" si="34"/>
        <v>1.1494005762758388</v>
      </c>
      <c r="J610">
        <f t="shared" si="33"/>
        <v>4.7490505300185185E-2</v>
      </c>
      <c r="K610" s="91">
        <v>36770</v>
      </c>
      <c r="Q610">
        <v>3172514.3344934909</v>
      </c>
    </row>
    <row r="611" spans="1:17">
      <c r="A611" s="91">
        <v>36800</v>
      </c>
      <c r="B611">
        <v>1436.5200199999999</v>
      </c>
      <c r="C611">
        <v>1454.8199460000001</v>
      </c>
      <c r="D611">
        <v>1305.790039</v>
      </c>
      <c r="E611">
        <v>1429.400024</v>
      </c>
      <c r="F611">
        <v>1429.400024</v>
      </c>
      <c r="G611">
        <v>25951400000</v>
      </c>
      <c r="H611" s="93">
        <f t="shared" si="32"/>
        <v>0.94652362084742792</v>
      </c>
      <c r="I611">
        <f t="shared" si="34"/>
        <v>1.1199102397864671</v>
      </c>
      <c r="J611">
        <f t="shared" si="33"/>
        <v>4.9939743484060065E-2</v>
      </c>
      <c r="K611" s="91">
        <v>36800</v>
      </c>
      <c r="Q611">
        <v>1096838.0242642628</v>
      </c>
    </row>
    <row r="612" spans="1:17">
      <c r="A612" s="91">
        <v>36831</v>
      </c>
      <c r="B612">
        <v>1429.400024</v>
      </c>
      <c r="C612">
        <v>1438.459961</v>
      </c>
      <c r="D612">
        <v>1294.900024</v>
      </c>
      <c r="E612">
        <v>1314.9499510000001</v>
      </c>
      <c r="F612">
        <v>1314.9499510000001</v>
      </c>
      <c r="G612">
        <v>20532300000</v>
      </c>
      <c r="H612" s="93">
        <f t="shared" si="32"/>
        <v>0.99504358038811047</v>
      </c>
      <c r="I612">
        <f t="shared" si="34"/>
        <v>1.0487699055464514</v>
      </c>
      <c r="J612">
        <f t="shared" si="33"/>
        <v>4.7289294221646169E-2</v>
      </c>
      <c r="K612" s="91">
        <v>36831</v>
      </c>
      <c r="Q612">
        <v>681500.42847113311</v>
      </c>
    </row>
    <row r="613" spans="1:17">
      <c r="A613" s="91">
        <v>36861</v>
      </c>
      <c r="B613">
        <v>1314.9499510000001</v>
      </c>
      <c r="C613">
        <v>1389.0500489999999</v>
      </c>
      <c r="D613">
        <v>1254.0699460000001</v>
      </c>
      <c r="E613">
        <v>1320.280029</v>
      </c>
      <c r="F613">
        <v>1320.280029</v>
      </c>
      <c r="G613">
        <v>23610800000</v>
      </c>
      <c r="H613" s="93">
        <f t="shared" si="32"/>
        <v>0.9199313900389301</v>
      </c>
      <c r="I613">
        <f t="shared" si="34"/>
        <v>0.94674955095039659</v>
      </c>
      <c r="J613">
        <f t="shared" si="33"/>
        <v>5.2928032156006874E-2</v>
      </c>
      <c r="K613" s="91">
        <v>36861</v>
      </c>
      <c r="Q613">
        <v>3545809.6946476004</v>
      </c>
    </row>
    <row r="614" spans="1:17">
      <c r="A614" s="91">
        <v>36892</v>
      </c>
      <c r="B614">
        <v>1320.280029</v>
      </c>
      <c r="C614">
        <v>1383.369995</v>
      </c>
      <c r="D614">
        <v>1274.619995</v>
      </c>
      <c r="E614">
        <v>1366.01001</v>
      </c>
      <c r="F614">
        <v>1366.01001</v>
      </c>
      <c r="G614">
        <v>27829800000</v>
      </c>
      <c r="H614" s="93">
        <f t="shared" si="32"/>
        <v>1.0040534455291978</v>
      </c>
      <c r="I614">
        <f t="shared" si="34"/>
        <v>0.89860815313935682</v>
      </c>
      <c r="J614">
        <f t="shared" si="33"/>
        <v>4.9443811324904663E-2</v>
      </c>
      <c r="K614" s="91">
        <v>36892</v>
      </c>
      <c r="Q614">
        <v>737197.22989072814</v>
      </c>
    </row>
    <row r="615" spans="1:17">
      <c r="A615" s="91">
        <v>36923</v>
      </c>
      <c r="B615">
        <v>1366.01001</v>
      </c>
      <c r="C615">
        <v>1376.380005</v>
      </c>
      <c r="D615">
        <v>1215.4399410000001</v>
      </c>
      <c r="E615">
        <v>1239.9399410000001</v>
      </c>
      <c r="F615">
        <v>1239.9399410000001</v>
      </c>
      <c r="G615">
        <v>21644400000</v>
      </c>
      <c r="H615" s="93">
        <f t="shared" si="32"/>
        <v>1.0346365770863295</v>
      </c>
      <c r="I615">
        <f t="shared" si="34"/>
        <v>0.97959787172404866</v>
      </c>
      <c r="J615">
        <f t="shared" si="33"/>
        <v>4.8821100660780645E-2</v>
      </c>
      <c r="K615" s="91">
        <v>36923</v>
      </c>
      <c r="Q615">
        <v>18412526.16919513</v>
      </c>
    </row>
    <row r="616" spans="1:17">
      <c r="A616" s="91">
        <v>36951</v>
      </c>
      <c r="B616">
        <v>1239.9399410000001</v>
      </c>
      <c r="C616">
        <v>1267.420044</v>
      </c>
      <c r="D616">
        <v>1081.1899410000001</v>
      </c>
      <c r="E616">
        <v>1160.329956</v>
      </c>
      <c r="F616">
        <v>1160.329956</v>
      </c>
      <c r="G616">
        <v>27806610000</v>
      </c>
      <c r="H616" s="93">
        <f t="shared" si="32"/>
        <v>0.90770926415099995</v>
      </c>
      <c r="I616">
        <f t="shared" si="34"/>
        <v>0.90743687963640562</v>
      </c>
      <c r="J616">
        <f t="shared" si="33"/>
        <v>5.5437014303176331E-2</v>
      </c>
      <c r="K616" s="91">
        <v>36951</v>
      </c>
      <c r="Q616">
        <v>2910230.9156509112</v>
      </c>
    </row>
    <row r="617" spans="1:17">
      <c r="A617" s="91">
        <v>36982</v>
      </c>
      <c r="B617">
        <v>1160.329956</v>
      </c>
      <c r="C617">
        <v>1269.3000489999999</v>
      </c>
      <c r="D617">
        <v>1091.98999</v>
      </c>
      <c r="E617">
        <v>1249.459961</v>
      </c>
      <c r="F617">
        <v>1249.459961</v>
      </c>
      <c r="G617">
        <v>25409990000</v>
      </c>
      <c r="H617" s="93">
        <f t="shared" si="32"/>
        <v>0.93579528945910451</v>
      </c>
      <c r="I617">
        <f t="shared" si="34"/>
        <v>0.774286317759878</v>
      </c>
      <c r="J617">
        <f t="shared" si="33"/>
        <v>4.6976789545713958E-2</v>
      </c>
      <c r="K617" s="91">
        <v>36982</v>
      </c>
      <c r="Q617">
        <v>1079533.0261815125</v>
      </c>
    </row>
    <row r="618" spans="1:17">
      <c r="A618" s="91">
        <v>37012</v>
      </c>
      <c r="B618">
        <v>1249.459961</v>
      </c>
      <c r="C618">
        <v>1315.9300539999999</v>
      </c>
      <c r="D618">
        <v>1232</v>
      </c>
      <c r="E618">
        <v>1255.8199460000001</v>
      </c>
      <c r="F618">
        <v>1255.8199460000001</v>
      </c>
      <c r="G618">
        <v>24525900000</v>
      </c>
      <c r="H618" s="93">
        <f t="shared" si="32"/>
        <v>1.0768143617590098</v>
      </c>
      <c r="I618">
        <f t="shared" si="34"/>
        <v>0.86025482436071932</v>
      </c>
      <c r="J618">
        <f t="shared" si="33"/>
        <v>5.4422179076116822E-2</v>
      </c>
      <c r="K618" s="91">
        <v>37012</v>
      </c>
      <c r="Q618">
        <v>3762317.7175367842</v>
      </c>
    </row>
    <row r="619" spans="1:17">
      <c r="A619" s="91">
        <v>37043</v>
      </c>
      <c r="B619">
        <v>1255.8199460000001</v>
      </c>
      <c r="C619">
        <v>1286.619995</v>
      </c>
      <c r="D619">
        <v>1203.030029</v>
      </c>
      <c r="E619">
        <v>1224.380005</v>
      </c>
      <c r="F619">
        <v>1224.380005</v>
      </c>
      <c r="G619">
        <v>24748030000</v>
      </c>
      <c r="H619" s="93">
        <f t="shared" si="32"/>
        <v>1.0050901871196496</v>
      </c>
      <c r="I619">
        <f t="shared" si="34"/>
        <v>0.88400673463055168</v>
      </c>
      <c r="J619">
        <f t="shared" si="33"/>
        <v>5.4492297343860643E-2</v>
      </c>
      <c r="K619" s="91">
        <v>37043</v>
      </c>
      <c r="Q619">
        <v>4951214.6998788957</v>
      </c>
    </row>
    <row r="620" spans="1:17">
      <c r="A620" s="91">
        <v>37073</v>
      </c>
      <c r="B620">
        <v>1224.420044</v>
      </c>
      <c r="C620">
        <v>1239.780029</v>
      </c>
      <c r="D620">
        <v>1165.540039</v>
      </c>
      <c r="E620">
        <v>1211.2299800000001</v>
      </c>
      <c r="F620">
        <v>1211.2299800000001</v>
      </c>
      <c r="G620">
        <v>23793710000</v>
      </c>
      <c r="H620" s="93">
        <f t="shared" si="32"/>
        <v>0.97499649364543528</v>
      </c>
      <c r="I620">
        <f t="shared" si="34"/>
        <v>0.8417572282429352</v>
      </c>
      <c r="J620">
        <f t="shared" si="33"/>
        <v>5.3640933203256976E-2</v>
      </c>
      <c r="K620" s="91">
        <v>37073</v>
      </c>
      <c r="Q620">
        <v>5012697.9694902962</v>
      </c>
    </row>
    <row r="621" spans="1:17">
      <c r="A621" s="91">
        <v>37104</v>
      </c>
      <c r="B621">
        <v>1211.2299800000001</v>
      </c>
      <c r="C621">
        <v>1226.2700199999999</v>
      </c>
      <c r="D621">
        <v>1124.869995</v>
      </c>
      <c r="E621">
        <v>1133.579956</v>
      </c>
      <c r="F621">
        <v>1133.579956</v>
      </c>
      <c r="G621">
        <v>23359200000</v>
      </c>
      <c r="H621" s="93">
        <f t="shared" si="32"/>
        <v>0.98922750075463495</v>
      </c>
      <c r="I621">
        <f t="shared" si="34"/>
        <v>0.84652265974783658</v>
      </c>
      <c r="J621">
        <f t="shared" si="33"/>
        <v>5.3632738143406584E-2</v>
      </c>
      <c r="K621" s="91">
        <v>37104</v>
      </c>
      <c r="Q621">
        <v>3210520.4962004586</v>
      </c>
    </row>
    <row r="622" spans="1:17">
      <c r="A622" s="91">
        <v>37135</v>
      </c>
      <c r="B622">
        <v>1133.579956</v>
      </c>
      <c r="C622">
        <v>1155.400024</v>
      </c>
      <c r="D622">
        <v>944.75</v>
      </c>
      <c r="E622">
        <v>1040.9399410000001</v>
      </c>
      <c r="F622">
        <v>1040.9399410000001</v>
      </c>
      <c r="G622">
        <v>25025290000</v>
      </c>
      <c r="H622" s="93">
        <f t="shared" si="32"/>
        <v>0.93589159343628525</v>
      </c>
      <c r="I622">
        <f t="shared" si="34"/>
        <v>0.74691629043442653</v>
      </c>
      <c r="J622">
        <f t="shared" si="33"/>
        <v>5.0144566107891898E-2</v>
      </c>
      <c r="K622" s="91">
        <v>37135</v>
      </c>
      <c r="Q622">
        <v>6872347.0821888046</v>
      </c>
    </row>
    <row r="623" spans="1:17">
      <c r="A623" s="91">
        <v>37165</v>
      </c>
      <c r="B623">
        <v>1040.9399410000001</v>
      </c>
      <c r="C623">
        <v>1110.6099850000001</v>
      </c>
      <c r="D623">
        <v>1026.76001</v>
      </c>
      <c r="E623">
        <v>1059.780029</v>
      </c>
      <c r="F623">
        <v>1059.780029</v>
      </c>
      <c r="G623">
        <v>29951280000</v>
      </c>
      <c r="H623" s="93">
        <f t="shared" si="32"/>
        <v>0.91827659398028383</v>
      </c>
      <c r="I623">
        <f t="shared" si="34"/>
        <v>0.72462612877473165</v>
      </c>
      <c r="J623">
        <f t="shared" si="33"/>
        <v>5.2328035322410475E-2</v>
      </c>
      <c r="K623" s="91">
        <v>37165</v>
      </c>
      <c r="Q623">
        <v>8581783.3236106336</v>
      </c>
    </row>
    <row r="624" spans="1:17">
      <c r="A624" s="91">
        <v>37196</v>
      </c>
      <c r="B624">
        <v>1059.780029</v>
      </c>
      <c r="C624">
        <v>1163.380005</v>
      </c>
      <c r="D624">
        <v>1054.3100589999999</v>
      </c>
      <c r="E624">
        <v>1139.4499510000001</v>
      </c>
      <c r="F624">
        <v>1139.4499510000001</v>
      </c>
      <c r="G624">
        <v>26330000000</v>
      </c>
      <c r="H624" s="93">
        <f t="shared" si="32"/>
        <v>1.0180991114452778</v>
      </c>
      <c r="I624">
        <f t="shared" si="34"/>
        <v>0.7414159865719997</v>
      </c>
      <c r="J624">
        <f t="shared" si="33"/>
        <v>5.3548350262784171E-2</v>
      </c>
      <c r="K624" s="91">
        <v>37196</v>
      </c>
      <c r="Q624">
        <v>6871951.0851802537</v>
      </c>
    </row>
    <row r="625" spans="1:17">
      <c r="A625" s="91">
        <v>37226</v>
      </c>
      <c r="B625">
        <v>1139.4499510000001</v>
      </c>
      <c r="C625">
        <v>1173.619995</v>
      </c>
      <c r="D625">
        <v>1114.530029</v>
      </c>
      <c r="E625">
        <v>1148.079956</v>
      </c>
      <c r="F625">
        <v>1148.079956</v>
      </c>
      <c r="G625">
        <v>25128570000</v>
      </c>
      <c r="H625" s="93">
        <f t="shared" si="32"/>
        <v>1.0751759042630535</v>
      </c>
      <c r="I625">
        <f t="shared" si="34"/>
        <v>0.86653484426039573</v>
      </c>
      <c r="J625">
        <f t="shared" si="33"/>
        <v>5.7211693022784782E-2</v>
      </c>
      <c r="K625" s="91">
        <v>37226</v>
      </c>
      <c r="Q625">
        <v>2645276.1456711874</v>
      </c>
    </row>
    <row r="626" spans="1:17">
      <c r="A626" s="91">
        <v>37257</v>
      </c>
      <c r="B626">
        <v>1148.079956</v>
      </c>
      <c r="C626">
        <v>1176.969971</v>
      </c>
      <c r="D626">
        <v>1081.660034</v>
      </c>
      <c r="E626">
        <v>1130.1999510000001</v>
      </c>
      <c r="F626">
        <v>1130.1999510000001</v>
      </c>
      <c r="G626">
        <v>29746200000</v>
      </c>
      <c r="H626" s="93">
        <f t="shared" si="32"/>
        <v>1.0075738341929157</v>
      </c>
      <c r="I626">
        <f t="shared" si="34"/>
        <v>0.86957306842668303</v>
      </c>
      <c r="J626">
        <f t="shared" si="33"/>
        <v>5.7301235581744124E-2</v>
      </c>
      <c r="K626" s="91">
        <v>37257</v>
      </c>
      <c r="Q626">
        <v>7713429.4609438404</v>
      </c>
    </row>
    <row r="627" spans="1:17">
      <c r="A627" s="91">
        <v>37288</v>
      </c>
      <c r="B627">
        <v>1130.1999510000001</v>
      </c>
      <c r="C627">
        <v>1130.1999510000001</v>
      </c>
      <c r="D627">
        <v>1074.3599850000001</v>
      </c>
      <c r="E627">
        <v>1106.7299800000001</v>
      </c>
      <c r="F627">
        <v>1106.7299800000001</v>
      </c>
      <c r="G627">
        <v>26047600000</v>
      </c>
      <c r="H627" s="93">
        <f t="shared" si="32"/>
        <v>0.98442616744020572</v>
      </c>
      <c r="I627">
        <f t="shared" si="34"/>
        <v>0.82737311053818707</v>
      </c>
      <c r="J627">
        <f t="shared" si="33"/>
        <v>5.5547139410672471E-2</v>
      </c>
      <c r="K627" s="91">
        <v>37288</v>
      </c>
      <c r="Q627">
        <v>7004999.4885608787</v>
      </c>
    </row>
    <row r="628" spans="1:17">
      <c r="A628" s="91">
        <v>37316</v>
      </c>
      <c r="B628">
        <v>1106.7299800000001</v>
      </c>
      <c r="C628">
        <v>1173.9399410000001</v>
      </c>
      <c r="D628">
        <v>1106.7299800000001</v>
      </c>
      <c r="E628">
        <v>1147.3900149999999</v>
      </c>
      <c r="F628">
        <v>1147.3900149999999</v>
      </c>
      <c r="G628">
        <v>26563200000</v>
      </c>
      <c r="H628" s="93">
        <f t="shared" si="32"/>
        <v>0.97923378869443967</v>
      </c>
      <c r="I628">
        <f t="shared" si="34"/>
        <v>0.89256740863386708</v>
      </c>
      <c r="J628">
        <f t="shared" si="33"/>
        <v>4.9968365914926781E-2</v>
      </c>
      <c r="K628" s="91">
        <v>37316</v>
      </c>
      <c r="Q628">
        <v>1674666.0088195933</v>
      </c>
    </row>
    <row r="629" spans="1:17">
      <c r="A629" s="91">
        <v>37347</v>
      </c>
      <c r="B629">
        <v>1147.3900149999999</v>
      </c>
      <c r="C629">
        <v>1147.839966</v>
      </c>
      <c r="D629">
        <v>1063.459961</v>
      </c>
      <c r="E629">
        <v>1076.920044</v>
      </c>
      <c r="F629">
        <v>1076.920044</v>
      </c>
      <c r="G629">
        <v>28568900000</v>
      </c>
      <c r="H629" s="93">
        <f t="shared" si="32"/>
        <v>1.0367388936188391</v>
      </c>
      <c r="I629">
        <f t="shared" si="34"/>
        <v>0.98884805056261071</v>
      </c>
      <c r="J629">
        <f t="shared" si="33"/>
        <v>4.8162476753233374E-2</v>
      </c>
      <c r="K629" s="91">
        <v>37347</v>
      </c>
      <c r="Q629">
        <v>1680190.9669705096</v>
      </c>
    </row>
    <row r="630" spans="1:17">
      <c r="A630" s="91">
        <v>37377</v>
      </c>
      <c r="B630">
        <v>1076.920044</v>
      </c>
      <c r="C630">
        <v>1106.589966</v>
      </c>
      <c r="D630">
        <v>1048.959961</v>
      </c>
      <c r="E630">
        <v>1067.1400149999999</v>
      </c>
      <c r="F630">
        <v>1067.1400149999999</v>
      </c>
      <c r="G630">
        <v>26905500000</v>
      </c>
      <c r="H630" s="93">
        <f t="shared" si="32"/>
        <v>0.93858237384086007</v>
      </c>
      <c r="I630">
        <f t="shared" si="34"/>
        <v>0.86190840652316025</v>
      </c>
      <c r="J630">
        <f t="shared" si="33"/>
        <v>4.4549039244383373E-2</v>
      </c>
      <c r="K630" s="91">
        <v>37377</v>
      </c>
      <c r="Q630">
        <v>5138727.2216452826</v>
      </c>
    </row>
    <row r="631" spans="1:17">
      <c r="A631" s="91">
        <v>37408</v>
      </c>
      <c r="B631">
        <v>1067.1400149999999</v>
      </c>
      <c r="C631">
        <v>1070.73999</v>
      </c>
      <c r="D631">
        <v>952.919983</v>
      </c>
      <c r="E631">
        <v>989.82000700000003</v>
      </c>
      <c r="F631">
        <v>989.82000700000003</v>
      </c>
      <c r="G631">
        <v>29981510000</v>
      </c>
      <c r="H631" s="93">
        <f t="shared" si="32"/>
        <v>0.99091851892395455</v>
      </c>
      <c r="I631">
        <f t="shared" si="34"/>
        <v>0.8497555866977764</v>
      </c>
      <c r="J631">
        <f t="shared" si="33"/>
        <v>4.4259322969446922E-2</v>
      </c>
      <c r="K631" s="91">
        <v>37408</v>
      </c>
      <c r="Q631">
        <v>2452705.1746132728</v>
      </c>
    </row>
    <row r="632" spans="1:17">
      <c r="A632" s="91">
        <v>37438</v>
      </c>
      <c r="B632">
        <v>989.82000700000003</v>
      </c>
      <c r="C632">
        <v>994.46002199999998</v>
      </c>
      <c r="D632">
        <v>775.67999299999997</v>
      </c>
      <c r="E632">
        <v>911.61999500000002</v>
      </c>
      <c r="F632">
        <v>911.61999500000002</v>
      </c>
      <c r="G632">
        <v>42228720000</v>
      </c>
      <c r="H632" s="93">
        <f t="shared" si="32"/>
        <v>0.92754464558242633</v>
      </c>
      <c r="I632">
        <f t="shared" si="34"/>
        <v>0.80839905541435264</v>
      </c>
      <c r="J632">
        <f t="shared" si="33"/>
        <v>4.7474046581373407E-2</v>
      </c>
      <c r="K632" s="91">
        <v>37438</v>
      </c>
      <c r="Q632">
        <v>6875588.4219162269</v>
      </c>
    </row>
    <row r="633" spans="1:17">
      <c r="A633" s="91">
        <v>37469</v>
      </c>
      <c r="B633">
        <v>911.61999500000002</v>
      </c>
      <c r="C633">
        <v>965</v>
      </c>
      <c r="D633">
        <v>833.44000200000005</v>
      </c>
      <c r="E633">
        <v>916.07000700000003</v>
      </c>
      <c r="F633">
        <v>916.07000700000003</v>
      </c>
      <c r="G633">
        <v>29298400000</v>
      </c>
      <c r="H633" s="93">
        <f t="shared" si="32"/>
        <v>0.92099572503387472</v>
      </c>
      <c r="I633">
        <f t="shared" si="34"/>
        <v>0.75263988677030602</v>
      </c>
      <c r="J633">
        <f t="shared" si="33"/>
        <v>5.0698856083230923E-2</v>
      </c>
      <c r="K633" s="91">
        <v>37469</v>
      </c>
      <c r="Q633">
        <v>727318.44878540828</v>
      </c>
    </row>
    <row r="634" spans="1:17">
      <c r="A634" s="91">
        <v>37500</v>
      </c>
      <c r="B634">
        <v>916.07000700000003</v>
      </c>
      <c r="C634">
        <v>924.02002000000005</v>
      </c>
      <c r="D634">
        <v>800.20001200000002</v>
      </c>
      <c r="E634">
        <v>815.28002900000001</v>
      </c>
      <c r="F634">
        <v>815.28002900000001</v>
      </c>
      <c r="G634">
        <v>27723710000</v>
      </c>
      <c r="H634" s="93">
        <f t="shared" si="32"/>
        <v>1.0048814330800193</v>
      </c>
      <c r="I634">
        <f t="shared" si="34"/>
        <v>0.80812121116933366</v>
      </c>
      <c r="J634">
        <f t="shared" si="33"/>
        <v>4.9411273032834852E-2</v>
      </c>
      <c r="K634" s="91">
        <v>37500</v>
      </c>
      <c r="Q634">
        <v>7886621.1105339155</v>
      </c>
    </row>
    <row r="635" spans="1:17">
      <c r="A635" s="91">
        <v>37530</v>
      </c>
      <c r="B635">
        <v>815.28002900000001</v>
      </c>
      <c r="C635">
        <v>907.44000200000005</v>
      </c>
      <c r="D635">
        <v>768.63000499999998</v>
      </c>
      <c r="E635">
        <v>885.76000999999997</v>
      </c>
      <c r="F635">
        <v>885.76000999999997</v>
      </c>
      <c r="G635">
        <v>37856310000</v>
      </c>
      <c r="H635" s="93">
        <f t="shared" si="32"/>
        <v>0.88997568173848096</v>
      </c>
      <c r="I635">
        <f t="shared" si="34"/>
        <v>0.78321524315493618</v>
      </c>
      <c r="J635">
        <f t="shared" si="33"/>
        <v>5.332940650382488E-2</v>
      </c>
      <c r="K635" s="91">
        <v>37530</v>
      </c>
      <c r="Q635">
        <v>5313313.3499531979</v>
      </c>
    </row>
    <row r="636" spans="1:17">
      <c r="A636" s="91">
        <v>37561</v>
      </c>
      <c r="B636">
        <v>885.76000999999997</v>
      </c>
      <c r="C636">
        <v>941.82000700000003</v>
      </c>
      <c r="D636">
        <v>872.04998799999998</v>
      </c>
      <c r="E636">
        <v>936.30999799999995</v>
      </c>
      <c r="F636">
        <v>936.30999799999995</v>
      </c>
      <c r="G636">
        <v>29200960000</v>
      </c>
      <c r="H636" s="93">
        <f t="shared" si="32"/>
        <v>1.0864488010168099</v>
      </c>
      <c r="I636">
        <f t="shared" si="34"/>
        <v>0.83579609519137288</v>
      </c>
      <c r="J636">
        <f t="shared" si="33"/>
        <v>6.0763051856324801E-2</v>
      </c>
      <c r="K636" s="91">
        <v>37561</v>
      </c>
      <c r="Q636">
        <v>3244752.8312233398</v>
      </c>
    </row>
    <row r="637" spans="1:17">
      <c r="A637" s="91">
        <v>37591</v>
      </c>
      <c r="B637">
        <v>936.30999799999995</v>
      </c>
      <c r="C637">
        <v>954.28002900000001</v>
      </c>
      <c r="D637">
        <v>869.45001200000002</v>
      </c>
      <c r="E637">
        <v>879.82000700000003</v>
      </c>
      <c r="F637">
        <v>879.82000700000003</v>
      </c>
      <c r="G637">
        <v>25993640000</v>
      </c>
      <c r="H637" s="93">
        <f t="shared" si="32"/>
        <v>1.0570696209236179</v>
      </c>
      <c r="I637">
        <f t="shared" si="34"/>
        <v>0.82172103932979146</v>
      </c>
      <c r="J637">
        <f t="shared" si="33"/>
        <v>5.8555751001397531E-2</v>
      </c>
      <c r="K637" s="91">
        <v>37591</v>
      </c>
      <c r="Q637">
        <v>6500597.7998554418</v>
      </c>
    </row>
    <row r="638" spans="1:17">
      <c r="A638" s="91">
        <v>37622</v>
      </c>
      <c r="B638">
        <v>879.82000700000003</v>
      </c>
      <c r="C638">
        <v>935.04998799999998</v>
      </c>
      <c r="D638">
        <v>840.34002699999996</v>
      </c>
      <c r="E638">
        <v>855.70001200000002</v>
      </c>
      <c r="F638">
        <v>855.70001200000002</v>
      </c>
      <c r="G638">
        <v>30749580000</v>
      </c>
      <c r="H638" s="93">
        <f t="shared" si="32"/>
        <v>0.9396674273257094</v>
      </c>
      <c r="I638">
        <f t="shared" si="34"/>
        <v>0.76634036018306728</v>
      </c>
      <c r="J638">
        <f t="shared" si="33"/>
        <v>5.9488276582308507E-2</v>
      </c>
      <c r="K638" s="91">
        <v>37622</v>
      </c>
      <c r="Q638">
        <v>3719748.9593733107</v>
      </c>
    </row>
    <row r="639" spans="1:17">
      <c r="A639" s="91">
        <v>37653</v>
      </c>
      <c r="B639">
        <v>855.70001200000002</v>
      </c>
      <c r="C639">
        <v>864.64001499999995</v>
      </c>
      <c r="D639">
        <v>806.28997800000002</v>
      </c>
      <c r="E639">
        <v>841.15002400000003</v>
      </c>
      <c r="F639">
        <v>841.15002400000003</v>
      </c>
      <c r="G639">
        <v>25235300000</v>
      </c>
      <c r="H639" s="93">
        <f t="shared" si="32"/>
        <v>0.97258530744004779</v>
      </c>
      <c r="I639">
        <f t="shared" si="34"/>
        <v>0.75712267660503552</v>
      </c>
      <c r="J639">
        <f t="shared" si="33"/>
        <v>5.9501083160581759E-2</v>
      </c>
      <c r="K639" s="91">
        <v>37653</v>
      </c>
      <c r="Q639">
        <v>1537651.3151504295</v>
      </c>
    </row>
    <row r="640" spans="1:17">
      <c r="A640" s="91">
        <v>37681</v>
      </c>
      <c r="B640">
        <v>841.15002400000003</v>
      </c>
      <c r="C640">
        <v>895.90002400000003</v>
      </c>
      <c r="D640">
        <v>788.90002400000003</v>
      </c>
      <c r="E640">
        <v>848.17999299999997</v>
      </c>
      <c r="F640">
        <v>848.17999299999997</v>
      </c>
      <c r="G640">
        <v>30080030000</v>
      </c>
      <c r="H640" s="93">
        <f t="shared" si="32"/>
        <v>0.98299639149707063</v>
      </c>
      <c r="I640">
        <f t="shared" si="34"/>
        <v>0.76003184082896169</v>
      </c>
      <c r="J640">
        <f t="shared" si="33"/>
        <v>5.9513948143664112E-2</v>
      </c>
      <c r="K640" s="91">
        <v>37681</v>
      </c>
      <c r="Q640">
        <v>6099238.2029128168</v>
      </c>
    </row>
    <row r="641" spans="1:17">
      <c r="A641" s="91">
        <v>37712</v>
      </c>
      <c r="B641">
        <v>848.17999299999997</v>
      </c>
      <c r="C641">
        <v>924.23999000000003</v>
      </c>
      <c r="D641">
        <v>847.84997599999997</v>
      </c>
      <c r="E641">
        <v>916.919983</v>
      </c>
      <c r="F641">
        <v>916.919983</v>
      </c>
      <c r="G641">
        <v>29669610000</v>
      </c>
      <c r="H641" s="93">
        <f t="shared" si="32"/>
        <v>1.0083575685661514</v>
      </c>
      <c r="I641">
        <f t="shared" si="34"/>
        <v>0.73922553091069043</v>
      </c>
      <c r="J641">
        <f t="shared" si="33"/>
        <v>5.7543570193187517E-2</v>
      </c>
      <c r="K641" s="91">
        <v>37712</v>
      </c>
      <c r="Q641">
        <v>2567592.3637208524</v>
      </c>
    </row>
    <row r="642" spans="1:17">
      <c r="A642" s="91">
        <v>37742</v>
      </c>
      <c r="B642">
        <v>916.919983</v>
      </c>
      <c r="C642">
        <v>965.38000499999998</v>
      </c>
      <c r="D642">
        <v>902.830017</v>
      </c>
      <c r="E642">
        <v>963.59002699999996</v>
      </c>
      <c r="F642">
        <v>963.59002699999996</v>
      </c>
      <c r="G642">
        <v>30952100000</v>
      </c>
      <c r="H642" s="93">
        <f t="shared" si="32"/>
        <v>1.0810441068727261</v>
      </c>
      <c r="I642">
        <f t="shared" si="34"/>
        <v>0.85142809636478456</v>
      </c>
      <c r="J642">
        <f t="shared" si="33"/>
        <v>6.3372124071797833E-2</v>
      </c>
      <c r="K642" s="91">
        <v>37742</v>
      </c>
      <c r="Q642">
        <v>4615139.9592633126</v>
      </c>
    </row>
    <row r="643" spans="1:17">
      <c r="A643" s="91">
        <v>37773</v>
      </c>
      <c r="B643">
        <v>963.59002699999996</v>
      </c>
      <c r="C643">
        <v>1015.330017</v>
      </c>
      <c r="D643">
        <v>963.59002699999996</v>
      </c>
      <c r="E643">
        <v>974.5</v>
      </c>
      <c r="F643">
        <v>974.5</v>
      </c>
      <c r="G643">
        <v>31219400000</v>
      </c>
      <c r="H643" s="93">
        <f t="shared" si="32"/>
        <v>1.050898709664178</v>
      </c>
      <c r="I643">
        <f t="shared" si="34"/>
        <v>0.90296494691936002</v>
      </c>
      <c r="J643">
        <f t="shared" si="33"/>
        <v>6.5892049678341405E-2</v>
      </c>
      <c r="K643" s="91">
        <v>37773</v>
      </c>
      <c r="Q643">
        <v>2467010.8686190303</v>
      </c>
    </row>
    <row r="644" spans="1:17">
      <c r="A644" s="91">
        <v>37803</v>
      </c>
      <c r="B644">
        <v>974.5</v>
      </c>
      <c r="C644">
        <v>1015.409973</v>
      </c>
      <c r="D644">
        <v>962.09997599999997</v>
      </c>
      <c r="E644">
        <v>990.30999799999995</v>
      </c>
      <c r="F644">
        <v>990.30999799999995</v>
      </c>
      <c r="G644">
        <v>31553200000</v>
      </c>
      <c r="H644" s="93">
        <f t="shared" ref="H644:H707" si="35">B644/B643</f>
        <v>1.0113222145251615</v>
      </c>
      <c r="I644">
        <f t="shared" si="34"/>
        <v>0.98452243146061202</v>
      </c>
      <c r="J644">
        <f t="shared" si="33"/>
        <v>6.2621168492167117E-2</v>
      </c>
      <c r="K644" s="91">
        <v>37803</v>
      </c>
      <c r="Q644">
        <v>1485773.1374743774</v>
      </c>
    </row>
    <row r="645" spans="1:17">
      <c r="A645" s="91">
        <v>37834</v>
      </c>
      <c r="B645">
        <v>990.30999799999995</v>
      </c>
      <c r="C645">
        <v>1011.01001</v>
      </c>
      <c r="D645">
        <v>960.84002699999996</v>
      </c>
      <c r="E645">
        <v>1008.01001</v>
      </c>
      <c r="F645">
        <v>1008.01001</v>
      </c>
      <c r="G645">
        <v>24881470000</v>
      </c>
      <c r="H645" s="93">
        <f t="shared" si="35"/>
        <v>1.0162237024114931</v>
      </c>
      <c r="I645">
        <f t="shared" si="34"/>
        <v>1.0863188646931772</v>
      </c>
      <c r="J645">
        <f t="shared" si="33"/>
        <v>5.744742213720145E-2</v>
      </c>
      <c r="K645" s="91">
        <v>37834</v>
      </c>
      <c r="Q645">
        <v>2551987.1506033163</v>
      </c>
    </row>
    <row r="646" spans="1:17">
      <c r="A646" s="91">
        <v>37865</v>
      </c>
      <c r="B646">
        <v>1008.01001</v>
      </c>
      <c r="C646">
        <v>1040.290039</v>
      </c>
      <c r="D646">
        <v>990.35998500000005</v>
      </c>
      <c r="E646">
        <v>995.96997099999999</v>
      </c>
      <c r="F646">
        <v>995.96997099999999</v>
      </c>
      <c r="G646">
        <v>29940110000</v>
      </c>
      <c r="H646" s="93">
        <f t="shared" si="35"/>
        <v>1.0178732033764644</v>
      </c>
      <c r="I646">
        <f t="shared" si="34"/>
        <v>1.1003635118467534</v>
      </c>
      <c r="J646">
        <f t="shared" si="33"/>
        <v>5.7496333745624524E-2</v>
      </c>
      <c r="K646" s="91">
        <v>37865</v>
      </c>
      <c r="Q646">
        <v>2189223.6648684866</v>
      </c>
    </row>
    <row r="647" spans="1:17">
      <c r="A647" s="91">
        <v>37895</v>
      </c>
      <c r="B647">
        <v>995.96997099999999</v>
      </c>
      <c r="C647">
        <v>1053.790039</v>
      </c>
      <c r="D647">
        <v>995.96997099999999</v>
      </c>
      <c r="E647">
        <v>1050.709961</v>
      </c>
      <c r="F647">
        <v>1050.709961</v>
      </c>
      <c r="G647">
        <v>32298500000</v>
      </c>
      <c r="H647" s="93">
        <f t="shared" si="35"/>
        <v>0.98805563547925479</v>
      </c>
      <c r="I647">
        <f t="shared" si="34"/>
        <v>1.2216292998390128</v>
      </c>
      <c r="J647">
        <f t="shared" si="33"/>
        <v>4.4444762955274539E-2</v>
      </c>
      <c r="K647" s="91">
        <v>37895</v>
      </c>
      <c r="Q647">
        <v>3299736.0106248893</v>
      </c>
    </row>
    <row r="648" spans="1:17">
      <c r="A648" s="91">
        <v>37926</v>
      </c>
      <c r="B648">
        <v>1050.709961</v>
      </c>
      <c r="C648">
        <v>1063.650024</v>
      </c>
      <c r="D648">
        <v>1031.1999510000001</v>
      </c>
      <c r="E648">
        <v>1058.1999510000001</v>
      </c>
      <c r="F648">
        <v>1058.1999510000001</v>
      </c>
      <c r="G648">
        <v>24463220000</v>
      </c>
      <c r="H648" s="93">
        <f t="shared" si="35"/>
        <v>1.0549614863840107</v>
      </c>
      <c r="I648">
        <f t="shared" si="34"/>
        <v>1.1862242019709155</v>
      </c>
      <c r="J648">
        <f t="shared" si="33"/>
        <v>4.0797565795045385E-2</v>
      </c>
      <c r="K648" s="91">
        <v>37926</v>
      </c>
      <c r="Q648">
        <v>7590964.309559132</v>
      </c>
    </row>
    <row r="649" spans="1:17">
      <c r="A649" s="91">
        <v>37956</v>
      </c>
      <c r="B649">
        <v>1058.1999510000001</v>
      </c>
      <c r="C649">
        <v>1112.5600589999999</v>
      </c>
      <c r="D649">
        <v>1053.410034</v>
      </c>
      <c r="E649">
        <v>1111.920044</v>
      </c>
      <c r="F649">
        <v>1111.920044</v>
      </c>
      <c r="G649">
        <v>27839130000</v>
      </c>
      <c r="H649" s="93">
        <f t="shared" si="35"/>
        <v>1.0071285038478854</v>
      </c>
      <c r="I649">
        <f t="shared" si="34"/>
        <v>1.1301811934726347</v>
      </c>
      <c r="J649">
        <f t="shared" si="33"/>
        <v>3.8614533378646204E-2</v>
      </c>
      <c r="K649" s="91">
        <v>37956</v>
      </c>
      <c r="Q649">
        <v>2955638.4002160449</v>
      </c>
    </row>
    <row r="650" spans="1:17">
      <c r="A650" s="91">
        <v>37987</v>
      </c>
      <c r="B650">
        <v>1111.920044</v>
      </c>
      <c r="C650">
        <v>1155.380005</v>
      </c>
      <c r="D650">
        <v>1105.079956</v>
      </c>
      <c r="E650">
        <v>1131.130005</v>
      </c>
      <c r="F650">
        <v>1131.130005</v>
      </c>
      <c r="G650">
        <v>32820000000</v>
      </c>
      <c r="H650" s="93">
        <f t="shared" si="35"/>
        <v>1.0507655410012393</v>
      </c>
      <c r="I650">
        <f t="shared" si="34"/>
        <v>1.2638039998560751</v>
      </c>
      <c r="J650">
        <f t="shared" si="33"/>
        <v>3.2867089386786216E-2</v>
      </c>
      <c r="K650" s="91">
        <v>37987</v>
      </c>
      <c r="Q650">
        <v>13606898.948943758</v>
      </c>
    </row>
    <row r="651" spans="1:17">
      <c r="A651" s="91">
        <v>38018</v>
      </c>
      <c r="B651">
        <v>1131.130005</v>
      </c>
      <c r="C651">
        <v>1158.9799800000001</v>
      </c>
      <c r="D651">
        <v>1124.4399410000001</v>
      </c>
      <c r="E651">
        <v>1144.9399410000001</v>
      </c>
      <c r="F651">
        <v>1144.9399410000001</v>
      </c>
      <c r="G651">
        <v>27985600000</v>
      </c>
      <c r="H651" s="93">
        <f t="shared" si="35"/>
        <v>1.0172763870061146</v>
      </c>
      <c r="I651">
        <f t="shared" si="34"/>
        <v>1.3218768132961063</v>
      </c>
      <c r="J651">
        <f t="shared" si="33"/>
        <v>2.9324278313858931E-2</v>
      </c>
      <c r="K651" s="91">
        <v>38018</v>
      </c>
      <c r="Q651">
        <v>2854586.3853401942</v>
      </c>
    </row>
    <row r="652" spans="1:17">
      <c r="A652" s="91">
        <v>38047</v>
      </c>
      <c r="B652">
        <v>1144.9399410000001</v>
      </c>
      <c r="C652">
        <v>1163.2299800000001</v>
      </c>
      <c r="D652">
        <v>1087.160034</v>
      </c>
      <c r="E652">
        <v>1126.209961</v>
      </c>
      <c r="F652">
        <v>1126.209961</v>
      </c>
      <c r="G652">
        <v>33597900000</v>
      </c>
      <c r="H652" s="93">
        <f t="shared" si="35"/>
        <v>1.0122089732735895</v>
      </c>
      <c r="I652">
        <f t="shared" si="34"/>
        <v>1.3611602072545386</v>
      </c>
      <c r="J652">
        <f t="shared" si="33"/>
        <v>2.671567967889945E-2</v>
      </c>
      <c r="K652" s="91">
        <v>38047</v>
      </c>
      <c r="Q652">
        <v>1680113.6598064748</v>
      </c>
    </row>
    <row r="653" spans="1:17">
      <c r="A653" s="91">
        <v>38078</v>
      </c>
      <c r="B653">
        <v>1126.209961</v>
      </c>
      <c r="C653">
        <v>1150.5699460000001</v>
      </c>
      <c r="D653">
        <v>1107.2299800000001</v>
      </c>
      <c r="E653">
        <v>1107.3000489999999</v>
      </c>
      <c r="F653">
        <v>1107.3000489999999</v>
      </c>
      <c r="G653">
        <v>31611900000</v>
      </c>
      <c r="H653" s="93">
        <f t="shared" si="35"/>
        <v>0.98364108078573875</v>
      </c>
      <c r="I653">
        <f t="shared" si="34"/>
        <v>1.3277959516783839</v>
      </c>
      <c r="J653">
        <f t="shared" si="33"/>
        <v>2.9076814429902134E-2</v>
      </c>
      <c r="K653" s="91">
        <v>38078</v>
      </c>
      <c r="Q653">
        <v>5186273.8074222151</v>
      </c>
    </row>
    <row r="654" spans="1:17">
      <c r="A654" s="91">
        <v>38108</v>
      </c>
      <c r="B654">
        <v>1107.3000489999999</v>
      </c>
      <c r="C654">
        <v>1127.73999</v>
      </c>
      <c r="D654">
        <v>1076.3199460000001</v>
      </c>
      <c r="E654">
        <v>1120.6800539999999</v>
      </c>
      <c r="F654">
        <v>1120.6800539999999</v>
      </c>
      <c r="G654">
        <v>29326400000</v>
      </c>
      <c r="H654" s="93">
        <f t="shared" si="35"/>
        <v>0.98320924813770127</v>
      </c>
      <c r="I654">
        <f t="shared" si="34"/>
        <v>1.2076299672051098</v>
      </c>
      <c r="J654">
        <f t="shared" si="33"/>
        <v>2.5168020562385051E-2</v>
      </c>
      <c r="K654" s="91">
        <v>38108</v>
      </c>
      <c r="Q654">
        <v>2705954.0033790292</v>
      </c>
    </row>
    <row r="655" spans="1:17">
      <c r="A655" s="91">
        <v>38139</v>
      </c>
      <c r="B655">
        <v>1120.6800539999999</v>
      </c>
      <c r="C655">
        <v>1146.339966</v>
      </c>
      <c r="D655">
        <v>1113.3199460000001</v>
      </c>
      <c r="E655">
        <v>1140.839966</v>
      </c>
      <c r="F655">
        <v>1140.839966</v>
      </c>
      <c r="G655">
        <v>27529500000</v>
      </c>
      <c r="H655" s="93">
        <f t="shared" si="35"/>
        <v>1.0120834502013103</v>
      </c>
      <c r="I655">
        <f t="shared" si="34"/>
        <v>1.1630257916731219</v>
      </c>
      <c r="J655">
        <f t="shared" ref="J655:J718" si="36">_xlfn.STDEV.S(H644:H655)</f>
        <v>2.2662968445348024E-2</v>
      </c>
      <c r="K655" s="91">
        <v>38139</v>
      </c>
      <c r="Q655">
        <v>933288.96021840698</v>
      </c>
    </row>
    <row r="656" spans="1:17">
      <c r="A656" s="91">
        <v>38169</v>
      </c>
      <c r="B656">
        <v>1140.839966</v>
      </c>
      <c r="C656">
        <v>1140.839966</v>
      </c>
      <c r="D656">
        <v>1078.780029</v>
      </c>
      <c r="E656">
        <v>1101.719971</v>
      </c>
      <c r="F656">
        <v>1101.719971</v>
      </c>
      <c r="G656">
        <v>29285600000</v>
      </c>
      <c r="H656" s="93">
        <f t="shared" si="35"/>
        <v>1.0179889986691957</v>
      </c>
      <c r="I656">
        <f t="shared" ref="I656:I719" si="37">B656/B644</f>
        <v>1.1706926280143664</v>
      </c>
      <c r="J656">
        <f t="shared" si="36"/>
        <v>2.2702567708930373E-2</v>
      </c>
      <c r="K656" s="91">
        <v>38169</v>
      </c>
      <c r="Q656">
        <v>3323709.715409745</v>
      </c>
    </row>
    <row r="657" spans="1:17">
      <c r="A657" s="91">
        <v>38200</v>
      </c>
      <c r="B657">
        <v>1101.719971</v>
      </c>
      <c r="C657">
        <v>1109.6800539999999</v>
      </c>
      <c r="D657">
        <v>1060.719971</v>
      </c>
      <c r="E657">
        <v>1104.23999</v>
      </c>
      <c r="F657">
        <v>1104.23999</v>
      </c>
      <c r="G657">
        <v>26586800000</v>
      </c>
      <c r="H657" s="93">
        <f t="shared" si="35"/>
        <v>0.96570948058809503</v>
      </c>
      <c r="I657">
        <f t="shared" si="37"/>
        <v>1.1125000991861136</v>
      </c>
      <c r="J657">
        <f t="shared" si="36"/>
        <v>2.6506314996965114E-2</v>
      </c>
      <c r="K657" s="91">
        <v>38200</v>
      </c>
      <c r="Q657">
        <v>2664825.0557280574</v>
      </c>
    </row>
    <row r="658" spans="1:17">
      <c r="A658" s="91">
        <v>38231</v>
      </c>
      <c r="B658">
        <v>1104.23999</v>
      </c>
      <c r="C658">
        <v>1131.540039</v>
      </c>
      <c r="D658">
        <v>1099.1800539999999</v>
      </c>
      <c r="E658">
        <v>1114.579956</v>
      </c>
      <c r="F658">
        <v>1114.579956</v>
      </c>
      <c r="G658">
        <v>26829870000</v>
      </c>
      <c r="H658" s="93">
        <f t="shared" si="35"/>
        <v>1.0022873498405522</v>
      </c>
      <c r="I658">
        <f t="shared" si="37"/>
        <v>1.0954653019765153</v>
      </c>
      <c r="J658">
        <f t="shared" si="36"/>
        <v>2.6426661999234203E-2</v>
      </c>
      <c r="K658" s="91">
        <v>38231</v>
      </c>
      <c r="Q658">
        <v>5797406.0459189592</v>
      </c>
    </row>
    <row r="659" spans="1:17">
      <c r="A659" s="91">
        <v>38261</v>
      </c>
      <c r="B659">
        <v>1114.579956</v>
      </c>
      <c r="C659">
        <v>1142.0500489999999</v>
      </c>
      <c r="D659">
        <v>1090.290039</v>
      </c>
      <c r="E659">
        <v>1130.1999510000001</v>
      </c>
      <c r="F659">
        <v>1130.1999510000001</v>
      </c>
      <c r="G659">
        <v>31511000000</v>
      </c>
      <c r="H659" s="93">
        <f t="shared" si="35"/>
        <v>1.0093638756915515</v>
      </c>
      <c r="I659">
        <f t="shared" si="37"/>
        <v>1.119089920834571</v>
      </c>
      <c r="J659">
        <f t="shared" si="36"/>
        <v>2.5674053917559701E-2</v>
      </c>
      <c r="K659" s="91">
        <v>38261</v>
      </c>
      <c r="Q659">
        <v>4011411.9144366104</v>
      </c>
    </row>
    <row r="660" spans="1:17">
      <c r="A660" s="91">
        <v>38292</v>
      </c>
      <c r="B660">
        <v>1130.1999510000001</v>
      </c>
      <c r="C660">
        <v>1188.459961</v>
      </c>
      <c r="D660">
        <v>1127.599976</v>
      </c>
      <c r="E660">
        <v>1173.8199460000001</v>
      </c>
      <c r="F660">
        <v>1173.8199460000001</v>
      </c>
      <c r="G660">
        <v>30460280000</v>
      </c>
      <c r="H660" s="93">
        <f t="shared" si="35"/>
        <v>1.014014243586487</v>
      </c>
      <c r="I660">
        <f t="shared" si="37"/>
        <v>1.0756535989478451</v>
      </c>
      <c r="J660">
        <f t="shared" si="36"/>
        <v>2.1495340382315046E-2</v>
      </c>
      <c r="K660" s="91">
        <v>38292</v>
      </c>
      <c r="Q660">
        <v>1397258.0700957512</v>
      </c>
    </row>
    <row r="661" spans="1:17">
      <c r="A661" s="91">
        <v>38322</v>
      </c>
      <c r="B661">
        <v>1173.780029</v>
      </c>
      <c r="C661">
        <v>1217.329956</v>
      </c>
      <c r="D661">
        <v>1173.780029</v>
      </c>
      <c r="E661">
        <v>1211.920044</v>
      </c>
      <c r="F661">
        <v>1211.920044</v>
      </c>
      <c r="G661">
        <v>31102500000</v>
      </c>
      <c r="H661" s="93">
        <f t="shared" si="35"/>
        <v>1.0385596176689269</v>
      </c>
      <c r="I661">
        <f t="shared" si="37"/>
        <v>1.1092232879908723</v>
      </c>
      <c r="J661">
        <f t="shared" si="36"/>
        <v>2.3432325088222485E-2</v>
      </c>
      <c r="K661" s="91">
        <v>38322</v>
      </c>
      <c r="Q661">
        <v>3790961.1062451578</v>
      </c>
    </row>
    <row r="662" spans="1:17">
      <c r="A662" s="91">
        <v>38353</v>
      </c>
      <c r="B662">
        <v>1211.920044</v>
      </c>
      <c r="C662">
        <v>1217.8000489999999</v>
      </c>
      <c r="D662">
        <v>1163.75</v>
      </c>
      <c r="E662">
        <v>1181.2700199999999</v>
      </c>
      <c r="F662">
        <v>1181.2700199999999</v>
      </c>
      <c r="G662">
        <v>31498800000</v>
      </c>
      <c r="H662" s="93">
        <f t="shared" si="35"/>
        <v>1.0324933241814425</v>
      </c>
      <c r="I662">
        <f t="shared" si="37"/>
        <v>1.0899345241050444</v>
      </c>
      <c r="J662">
        <f t="shared" si="36"/>
        <v>2.0925951201904811E-2</v>
      </c>
      <c r="K662" s="91">
        <v>38353</v>
      </c>
      <c r="Q662">
        <v>1243187.0289161073</v>
      </c>
    </row>
    <row r="663" spans="1:17">
      <c r="A663" s="91">
        <v>38384</v>
      </c>
      <c r="B663">
        <v>1181.2700199999999</v>
      </c>
      <c r="C663">
        <v>1212.4399410000001</v>
      </c>
      <c r="D663">
        <v>1180.9499510000001</v>
      </c>
      <c r="E663">
        <v>1203.599976</v>
      </c>
      <c r="F663">
        <v>1203.599976</v>
      </c>
      <c r="G663">
        <v>29297410000</v>
      </c>
      <c r="H663" s="93">
        <f t="shared" si="35"/>
        <v>0.97470953290050544</v>
      </c>
      <c r="I663">
        <f t="shared" si="37"/>
        <v>1.0443273671269997</v>
      </c>
      <c r="J663">
        <f t="shared" si="36"/>
        <v>2.2637929244508366E-2</v>
      </c>
      <c r="K663" s="91">
        <v>38384</v>
      </c>
      <c r="Q663">
        <v>4071960.4900877122</v>
      </c>
    </row>
    <row r="664" spans="1:17">
      <c r="A664" s="91">
        <v>38412</v>
      </c>
      <c r="B664">
        <v>1203.599976</v>
      </c>
      <c r="C664">
        <v>1229.1099850000001</v>
      </c>
      <c r="D664">
        <v>1163.6899410000001</v>
      </c>
      <c r="E664">
        <v>1180.589966</v>
      </c>
      <c r="F664">
        <v>1180.589966</v>
      </c>
      <c r="G664">
        <v>39014150000</v>
      </c>
      <c r="H664" s="93">
        <f t="shared" si="35"/>
        <v>1.0189033460783166</v>
      </c>
      <c r="I664">
        <f t="shared" si="37"/>
        <v>1.0512341590151582</v>
      </c>
      <c r="J664">
        <f t="shared" si="36"/>
        <v>2.2942919893909123E-2</v>
      </c>
      <c r="K664" s="91">
        <v>38412</v>
      </c>
      <c r="Q664">
        <v>2575245.1793859182</v>
      </c>
    </row>
    <row r="665" spans="1:17">
      <c r="A665" s="91">
        <v>38443</v>
      </c>
      <c r="B665">
        <v>1180.589966</v>
      </c>
      <c r="C665">
        <v>1191.880005</v>
      </c>
      <c r="D665">
        <v>1136.150024</v>
      </c>
      <c r="E665">
        <v>1156.849976</v>
      </c>
      <c r="F665">
        <v>1156.849976</v>
      </c>
      <c r="G665">
        <v>43424270000</v>
      </c>
      <c r="H665" s="93">
        <f t="shared" si="35"/>
        <v>0.98088234425155896</v>
      </c>
      <c r="I665">
        <f t="shared" si="37"/>
        <v>1.0482858497821437</v>
      </c>
      <c r="J665">
        <f t="shared" si="36"/>
        <v>2.3182559450926083E-2</v>
      </c>
      <c r="K665" s="91">
        <v>38443</v>
      </c>
      <c r="Q665">
        <v>3395859.9788287124</v>
      </c>
    </row>
    <row r="666" spans="1:17">
      <c r="A666" s="91">
        <v>38473</v>
      </c>
      <c r="B666">
        <v>1156.849976</v>
      </c>
      <c r="C666">
        <v>1199.5600589999999</v>
      </c>
      <c r="D666">
        <v>1146.1800539999999</v>
      </c>
      <c r="E666">
        <v>1191.5</v>
      </c>
      <c r="F666">
        <v>1191.5</v>
      </c>
      <c r="G666">
        <v>39321990000</v>
      </c>
      <c r="H666" s="93">
        <f t="shared" si="35"/>
        <v>0.9798914181183207</v>
      </c>
      <c r="I666">
        <f t="shared" si="37"/>
        <v>1.0447484194051544</v>
      </c>
      <c r="J666">
        <f t="shared" si="36"/>
        <v>2.3473412256222261E-2</v>
      </c>
      <c r="K666" s="91">
        <v>38473</v>
      </c>
      <c r="Q666">
        <v>3624048.6991042374</v>
      </c>
    </row>
    <row r="667" spans="1:17">
      <c r="A667" s="91">
        <v>38504</v>
      </c>
      <c r="B667">
        <v>1191.5</v>
      </c>
      <c r="C667">
        <v>1219.589966</v>
      </c>
      <c r="D667">
        <v>1188.3000489999999</v>
      </c>
      <c r="E667">
        <v>1191.329956</v>
      </c>
      <c r="F667">
        <v>1191.329956</v>
      </c>
      <c r="G667">
        <v>40334040000</v>
      </c>
      <c r="H667" s="93">
        <f t="shared" si="35"/>
        <v>1.0299520462625658</v>
      </c>
      <c r="I667">
        <f t="shared" si="37"/>
        <v>1.0631937239778875</v>
      </c>
      <c r="J667">
        <f t="shared" si="36"/>
        <v>2.4579899219881695E-2</v>
      </c>
      <c r="K667" s="91">
        <v>38504</v>
      </c>
      <c r="Q667">
        <v>1969952.5577268223</v>
      </c>
    </row>
    <row r="668" spans="1:17">
      <c r="A668" s="91">
        <v>38534</v>
      </c>
      <c r="B668">
        <v>1191.329956</v>
      </c>
      <c r="C668">
        <v>1245.150024</v>
      </c>
      <c r="D668">
        <v>1183.5500489999999</v>
      </c>
      <c r="E668">
        <v>1234.1800539999999</v>
      </c>
      <c r="F668">
        <v>1234.1800539999999</v>
      </c>
      <c r="G668">
        <v>37464670000</v>
      </c>
      <c r="H668" s="93">
        <f t="shared" si="35"/>
        <v>0.99985728577423416</v>
      </c>
      <c r="I668">
        <f t="shared" si="37"/>
        <v>1.0442568559173355</v>
      </c>
      <c r="J668">
        <f t="shared" si="36"/>
        <v>2.4291026906182341E-2</v>
      </c>
      <c r="K668" s="91">
        <v>38534</v>
      </c>
      <c r="Q668">
        <v>3214459.7210551905</v>
      </c>
    </row>
    <row r="669" spans="1:17">
      <c r="A669" s="91">
        <v>38565</v>
      </c>
      <c r="B669">
        <v>1234.1800539999999</v>
      </c>
      <c r="C669">
        <v>1245.8599850000001</v>
      </c>
      <c r="D669">
        <v>1201.0699460000001</v>
      </c>
      <c r="E669">
        <v>1220.329956</v>
      </c>
      <c r="F669">
        <v>1220.329956</v>
      </c>
      <c r="G669">
        <v>42030090000</v>
      </c>
      <c r="H669" s="93">
        <f t="shared" si="35"/>
        <v>1.0359682871938123</v>
      </c>
      <c r="I669">
        <f t="shared" si="37"/>
        <v>1.1202302640295878</v>
      </c>
      <c r="J669">
        <f t="shared" si="36"/>
        <v>2.266586805456668E-2</v>
      </c>
      <c r="K669" s="91">
        <v>38565</v>
      </c>
      <c r="Q669">
        <v>2921537.7584507125</v>
      </c>
    </row>
    <row r="670" spans="1:17">
      <c r="A670" s="91">
        <v>38596</v>
      </c>
      <c r="B670">
        <v>1220.329956</v>
      </c>
      <c r="C670">
        <v>1243.130005</v>
      </c>
      <c r="D670">
        <v>1205.349976</v>
      </c>
      <c r="E670">
        <v>1228.8100589999999</v>
      </c>
      <c r="F670">
        <v>1228.8100589999999</v>
      </c>
      <c r="G670">
        <v>44777510000</v>
      </c>
      <c r="H670" s="93">
        <f t="shared" si="35"/>
        <v>0.9887778951255034</v>
      </c>
      <c r="I670">
        <f t="shared" si="37"/>
        <v>1.1051311010752292</v>
      </c>
      <c r="J670">
        <f t="shared" si="36"/>
        <v>2.3393515811676625E-2</v>
      </c>
      <c r="K670" s="91">
        <v>38596</v>
      </c>
      <c r="Q670">
        <v>4711147.3861798234</v>
      </c>
    </row>
    <row r="671" spans="1:17">
      <c r="A671" s="91">
        <v>38626</v>
      </c>
      <c r="B671">
        <v>1228.8100589999999</v>
      </c>
      <c r="C671">
        <v>1233.339966</v>
      </c>
      <c r="D671">
        <v>1168.1999510000001</v>
      </c>
      <c r="E671">
        <v>1207.01001</v>
      </c>
      <c r="F671">
        <v>1207.01001</v>
      </c>
      <c r="G671">
        <v>49793790000</v>
      </c>
      <c r="H671" s="93">
        <f t="shared" si="35"/>
        <v>1.0069490246947603</v>
      </c>
      <c r="I671">
        <f t="shared" si="37"/>
        <v>1.1024871319325968</v>
      </c>
      <c r="J671">
        <f t="shared" si="36"/>
        <v>2.3396869200862296E-2</v>
      </c>
      <c r="K671" s="91">
        <v>38626</v>
      </c>
      <c r="Q671">
        <v>2005734.6013954133</v>
      </c>
    </row>
    <row r="672" spans="1:17">
      <c r="A672" s="91">
        <v>38657</v>
      </c>
      <c r="B672">
        <v>1207.01001</v>
      </c>
      <c r="C672">
        <v>1270.6400149999999</v>
      </c>
      <c r="D672">
        <v>1201.0699460000001</v>
      </c>
      <c r="E672">
        <v>1249.4799800000001</v>
      </c>
      <c r="F672">
        <v>1249.4799800000001</v>
      </c>
      <c r="G672">
        <v>45102870000</v>
      </c>
      <c r="H672" s="93">
        <f t="shared" si="35"/>
        <v>0.98225921993368059</v>
      </c>
      <c r="I672">
        <f t="shared" si="37"/>
        <v>1.0679614779066646</v>
      </c>
      <c r="J672">
        <f t="shared" si="36"/>
        <v>2.447665934895606E-2</v>
      </c>
      <c r="K672" s="91">
        <v>38657</v>
      </c>
      <c r="Q672">
        <v>9590849.5576594993</v>
      </c>
    </row>
    <row r="673" spans="1:17">
      <c r="A673" s="91">
        <v>38687</v>
      </c>
      <c r="B673">
        <v>1249.4799800000001</v>
      </c>
      <c r="C673">
        <v>1275.8000489999999</v>
      </c>
      <c r="D673">
        <v>1246.589966</v>
      </c>
      <c r="E673">
        <v>1248.290039</v>
      </c>
      <c r="F673">
        <v>1248.290039</v>
      </c>
      <c r="G673">
        <v>41756130000</v>
      </c>
      <c r="H673" s="93">
        <f t="shared" si="35"/>
        <v>1.0351860959297265</v>
      </c>
      <c r="I673">
        <f t="shared" si="37"/>
        <v>1.0644924509956883</v>
      </c>
      <c r="J673">
        <f t="shared" si="36"/>
        <v>2.408196997417025E-2</v>
      </c>
      <c r="K673" s="91">
        <v>38687</v>
      </c>
      <c r="Q673">
        <v>4140258.5395920873</v>
      </c>
    </row>
    <row r="674" spans="1:17">
      <c r="A674" s="91">
        <v>38718</v>
      </c>
      <c r="B674">
        <v>1248.290039</v>
      </c>
      <c r="C674">
        <v>1294.900024</v>
      </c>
      <c r="D674">
        <v>1245.73999</v>
      </c>
      <c r="E674">
        <v>1280.079956</v>
      </c>
      <c r="F674">
        <v>1280.079956</v>
      </c>
      <c r="G674">
        <v>49211650000</v>
      </c>
      <c r="H674" s="93">
        <f t="shared" si="35"/>
        <v>0.99904765100758153</v>
      </c>
      <c r="I674">
        <f t="shared" si="37"/>
        <v>1.0300102264832249</v>
      </c>
      <c r="J674">
        <f t="shared" si="36"/>
        <v>2.2559378075238182E-2</v>
      </c>
      <c r="K674" s="91">
        <v>38718</v>
      </c>
      <c r="Q674">
        <v>2712739.3257896542</v>
      </c>
    </row>
    <row r="675" spans="1:17">
      <c r="A675" s="91">
        <v>38749</v>
      </c>
      <c r="B675">
        <v>1280.079956</v>
      </c>
      <c r="C675">
        <v>1297.5699460000001</v>
      </c>
      <c r="D675">
        <v>1253.6099850000001</v>
      </c>
      <c r="E675">
        <v>1280.660034</v>
      </c>
      <c r="F675">
        <v>1280.660034</v>
      </c>
      <c r="G675">
        <v>42859940000</v>
      </c>
      <c r="H675" s="93">
        <f t="shared" si="35"/>
        <v>1.0254667713486416</v>
      </c>
      <c r="I675">
        <f t="shared" si="37"/>
        <v>1.0836472054035537</v>
      </c>
      <c r="J675">
        <f t="shared" si="36"/>
        <v>2.1571199715104687E-2</v>
      </c>
      <c r="K675" s="91">
        <v>38749</v>
      </c>
      <c r="Q675">
        <v>1489107.3029682909</v>
      </c>
    </row>
    <row r="676" spans="1:17">
      <c r="A676" s="91">
        <v>38777</v>
      </c>
      <c r="B676">
        <v>1280.660034</v>
      </c>
      <c r="C676">
        <v>1310.880005</v>
      </c>
      <c r="D676">
        <v>1268.420044</v>
      </c>
      <c r="E676">
        <v>1294.869995</v>
      </c>
      <c r="F676">
        <v>1294.869995</v>
      </c>
      <c r="G676">
        <v>50905040000</v>
      </c>
      <c r="H676" s="93">
        <f t="shared" si="35"/>
        <v>1.0004531576307254</v>
      </c>
      <c r="I676">
        <f t="shared" si="37"/>
        <v>1.0640246423534325</v>
      </c>
      <c r="J676">
        <f t="shared" si="36"/>
        <v>2.1295853214405639E-2</v>
      </c>
      <c r="K676" s="91">
        <v>38777</v>
      </c>
      <c r="Q676">
        <v>5379845.3325613244</v>
      </c>
    </row>
    <row r="677" spans="1:17">
      <c r="A677" s="91">
        <v>38808</v>
      </c>
      <c r="B677">
        <v>1302.880005</v>
      </c>
      <c r="C677">
        <v>1318.160034</v>
      </c>
      <c r="D677">
        <v>1280.73999</v>
      </c>
      <c r="E677">
        <v>1310.6099850000001</v>
      </c>
      <c r="F677">
        <v>1310.6099850000001</v>
      </c>
      <c r="G677">
        <v>43308430000</v>
      </c>
      <c r="H677" s="93">
        <f t="shared" si="35"/>
        <v>1.0173504055800027</v>
      </c>
      <c r="I677">
        <f t="shared" si="37"/>
        <v>1.1035838373371369</v>
      </c>
      <c r="J677">
        <f t="shared" si="36"/>
        <v>2.0045807620855484E-2</v>
      </c>
      <c r="K677" s="91">
        <v>38808</v>
      </c>
      <c r="Q677">
        <v>4264336.6399292676</v>
      </c>
    </row>
    <row r="678" spans="1:17">
      <c r="A678" s="91">
        <v>38838</v>
      </c>
      <c r="B678">
        <v>1310.6099850000001</v>
      </c>
      <c r="C678">
        <v>1326.6999510000001</v>
      </c>
      <c r="D678">
        <v>1245.339966</v>
      </c>
      <c r="E678">
        <v>1270.089966</v>
      </c>
      <c r="F678">
        <v>1270.089966</v>
      </c>
      <c r="G678">
        <v>54312830000</v>
      </c>
      <c r="H678" s="93">
        <f t="shared" si="35"/>
        <v>1.0059329945738174</v>
      </c>
      <c r="I678">
        <f t="shared" si="37"/>
        <v>1.1329126612697444</v>
      </c>
      <c r="J678">
        <f t="shared" si="36"/>
        <v>1.7978402171458317E-2</v>
      </c>
      <c r="K678" s="91">
        <v>38838</v>
      </c>
      <c r="Q678">
        <v>1603531.3822472671</v>
      </c>
    </row>
    <row r="679" spans="1:17">
      <c r="A679" s="91">
        <v>38869</v>
      </c>
      <c r="B679">
        <v>1270.0500489999999</v>
      </c>
      <c r="C679">
        <v>1290.6800539999999</v>
      </c>
      <c r="D679">
        <v>1219.290039</v>
      </c>
      <c r="E679">
        <v>1270.1999510000001</v>
      </c>
      <c r="F679">
        <v>1270.1999510000001</v>
      </c>
      <c r="G679">
        <v>54873260000</v>
      </c>
      <c r="H679" s="93">
        <f t="shared" si="35"/>
        <v>0.96905262704831285</v>
      </c>
      <c r="I679">
        <f t="shared" si="37"/>
        <v>1.0659253453629878</v>
      </c>
      <c r="J679">
        <f t="shared" si="36"/>
        <v>2.0445230086832956E-2</v>
      </c>
      <c r="K679" s="91">
        <v>38869</v>
      </c>
      <c r="Q679">
        <v>10460139.943998657</v>
      </c>
    </row>
    <row r="680" spans="1:17">
      <c r="A680" s="91">
        <v>38899</v>
      </c>
      <c r="B680">
        <v>1270.0600589999999</v>
      </c>
      <c r="C680">
        <v>1280.420044</v>
      </c>
      <c r="D680">
        <v>1224.540039</v>
      </c>
      <c r="E680">
        <v>1276.660034</v>
      </c>
      <c r="F680">
        <v>1276.660034</v>
      </c>
      <c r="G680">
        <v>46348220000</v>
      </c>
      <c r="H680" s="93">
        <f t="shared" si="35"/>
        <v>1.0000078815791613</v>
      </c>
      <c r="I680">
        <f t="shared" si="37"/>
        <v>1.0660858921606768</v>
      </c>
      <c r="J680">
        <f t="shared" si="36"/>
        <v>2.0441480670445624E-2</v>
      </c>
      <c r="K680" s="91">
        <v>38899</v>
      </c>
      <c r="Q680">
        <v>6595175.0902432771</v>
      </c>
    </row>
    <row r="681" spans="1:17">
      <c r="A681" s="91">
        <v>38930</v>
      </c>
      <c r="B681">
        <v>1278.530029</v>
      </c>
      <c r="C681">
        <v>1306.73999</v>
      </c>
      <c r="D681">
        <v>1261.3000489999999</v>
      </c>
      <c r="E681">
        <v>1303.8199460000001</v>
      </c>
      <c r="F681">
        <v>1303.8199460000001</v>
      </c>
      <c r="G681">
        <v>50485620000</v>
      </c>
      <c r="H681" s="93">
        <f t="shared" si="35"/>
        <v>1.0066689523381036</v>
      </c>
      <c r="I681">
        <f t="shared" si="37"/>
        <v>1.0359347688825962</v>
      </c>
      <c r="J681">
        <f t="shared" si="36"/>
        <v>1.8090969784612144E-2</v>
      </c>
      <c r="K681" s="91">
        <v>38930</v>
      </c>
      <c r="Q681">
        <v>2426561.0045619248</v>
      </c>
    </row>
    <row r="682" spans="1:17">
      <c r="A682" s="91">
        <v>38961</v>
      </c>
      <c r="B682">
        <v>1303.8000489999999</v>
      </c>
      <c r="C682">
        <v>1340.280029</v>
      </c>
      <c r="D682">
        <v>1290.9300539999999</v>
      </c>
      <c r="E682">
        <v>1335.849976</v>
      </c>
      <c r="F682">
        <v>1335.849976</v>
      </c>
      <c r="G682">
        <v>49001440000</v>
      </c>
      <c r="H682" s="93">
        <f t="shared" si="35"/>
        <v>1.0197649014311887</v>
      </c>
      <c r="I682">
        <f t="shared" si="37"/>
        <v>1.0683996099494257</v>
      </c>
      <c r="J682">
        <f t="shared" si="36"/>
        <v>1.807293180510661E-2</v>
      </c>
      <c r="K682" s="91">
        <v>38961</v>
      </c>
      <c r="Q682">
        <v>6873608.5366660161</v>
      </c>
    </row>
    <row r="683" spans="1:17">
      <c r="A683" s="91">
        <v>38991</v>
      </c>
      <c r="B683">
        <v>1335.8199460000001</v>
      </c>
      <c r="C683">
        <v>1389.4499510000001</v>
      </c>
      <c r="D683">
        <v>1327.099976</v>
      </c>
      <c r="E683">
        <v>1377.9399410000001</v>
      </c>
      <c r="F683">
        <v>1377.9399410000001</v>
      </c>
      <c r="G683">
        <v>56793620000</v>
      </c>
      <c r="H683" s="93">
        <f t="shared" si="35"/>
        <v>1.0245589015160408</v>
      </c>
      <c r="I683">
        <f t="shared" si="37"/>
        <v>1.0870841561039013</v>
      </c>
      <c r="J683">
        <f t="shared" si="36"/>
        <v>1.8882313319742369E-2</v>
      </c>
      <c r="K683" s="91">
        <v>38991</v>
      </c>
      <c r="Q683">
        <v>5271172.5802274849</v>
      </c>
    </row>
    <row r="684" spans="1:17">
      <c r="A684" s="91">
        <v>39022</v>
      </c>
      <c r="B684">
        <v>1377.76001</v>
      </c>
      <c r="C684">
        <v>1407.8900149999999</v>
      </c>
      <c r="D684">
        <v>1360.9799800000001</v>
      </c>
      <c r="E684">
        <v>1400.630005</v>
      </c>
      <c r="F684">
        <v>1400.630005</v>
      </c>
      <c r="G684">
        <v>55343930000</v>
      </c>
      <c r="H684" s="93">
        <f t="shared" si="35"/>
        <v>1.0313964948087397</v>
      </c>
      <c r="I684">
        <f t="shared" si="37"/>
        <v>1.1414652725208136</v>
      </c>
      <c r="J684">
        <f t="shared" si="36"/>
        <v>1.8314197168216844E-2</v>
      </c>
      <c r="K684" s="91">
        <v>39022</v>
      </c>
      <c r="Q684">
        <v>2481931.904467985</v>
      </c>
    </row>
    <row r="685" spans="1:17">
      <c r="A685" s="91">
        <v>39052</v>
      </c>
      <c r="B685">
        <v>1400.630005</v>
      </c>
      <c r="C685">
        <v>1431.8100589999999</v>
      </c>
      <c r="D685">
        <v>1385.9300539999999</v>
      </c>
      <c r="E685">
        <v>1418.3000489999999</v>
      </c>
      <c r="F685">
        <v>1418.3000489999999</v>
      </c>
      <c r="G685">
        <v>47578780000</v>
      </c>
      <c r="H685" s="93">
        <f t="shared" si="35"/>
        <v>1.0165994039847333</v>
      </c>
      <c r="I685">
        <f t="shared" si="37"/>
        <v>1.1209703455992948</v>
      </c>
      <c r="J685">
        <f t="shared" si="36"/>
        <v>1.6830837797931229E-2</v>
      </c>
      <c r="K685" s="91">
        <v>39052</v>
      </c>
      <c r="Q685">
        <v>2334398.3438217938</v>
      </c>
    </row>
    <row r="686" spans="1:17">
      <c r="A686" s="91">
        <v>39083</v>
      </c>
      <c r="B686">
        <v>1418.030029</v>
      </c>
      <c r="C686">
        <v>1441.6099850000001</v>
      </c>
      <c r="D686">
        <v>1403.969971</v>
      </c>
      <c r="E686">
        <v>1438.23999</v>
      </c>
      <c r="F686">
        <v>1438.23999</v>
      </c>
      <c r="G686">
        <v>56686200000</v>
      </c>
      <c r="H686" s="93">
        <f t="shared" si="35"/>
        <v>1.0124229981778807</v>
      </c>
      <c r="I686">
        <f t="shared" si="37"/>
        <v>1.1359780056692417</v>
      </c>
      <c r="J686">
        <f t="shared" si="36"/>
        <v>1.6501527667087776E-2</v>
      </c>
      <c r="K686" s="91">
        <v>39083</v>
      </c>
      <c r="Q686">
        <v>2231616.3781263768</v>
      </c>
    </row>
    <row r="687" spans="1:17">
      <c r="A687" s="91">
        <v>39114</v>
      </c>
      <c r="B687">
        <v>1437.900024</v>
      </c>
      <c r="C687">
        <v>1461.5699460000001</v>
      </c>
      <c r="D687">
        <v>1389.420044</v>
      </c>
      <c r="E687">
        <v>1406.8199460000001</v>
      </c>
      <c r="F687">
        <v>1406.8199460000001</v>
      </c>
      <c r="G687">
        <v>51844990000</v>
      </c>
      <c r="H687" s="93">
        <f t="shared" si="35"/>
        <v>1.0140123936684278</v>
      </c>
      <c r="I687">
        <f t="shared" si="37"/>
        <v>1.123289226786393</v>
      </c>
      <c r="J687">
        <f t="shared" si="36"/>
        <v>1.5896598868092578E-2</v>
      </c>
      <c r="K687" s="91">
        <v>39114</v>
      </c>
      <c r="Q687">
        <v>7058755.0235121027</v>
      </c>
    </row>
    <row r="688" spans="1:17">
      <c r="A688" s="91">
        <v>39142</v>
      </c>
      <c r="B688">
        <v>1406.8000489999999</v>
      </c>
      <c r="C688">
        <v>1438.8900149999999</v>
      </c>
      <c r="D688">
        <v>1363.9799800000001</v>
      </c>
      <c r="E688">
        <v>1420.8599850000001</v>
      </c>
      <c r="F688">
        <v>1420.8599850000001</v>
      </c>
      <c r="G688">
        <v>67622250000</v>
      </c>
      <c r="H688" s="93">
        <f t="shared" si="35"/>
        <v>0.97837125357750176</v>
      </c>
      <c r="I688">
        <f t="shared" si="37"/>
        <v>1.0984960970524047</v>
      </c>
      <c r="J688">
        <f t="shared" si="36"/>
        <v>1.8195340897166068E-2</v>
      </c>
      <c r="K688" s="91">
        <v>39142</v>
      </c>
      <c r="Q688">
        <v>8933656.5459282827</v>
      </c>
    </row>
    <row r="689" spans="1:17">
      <c r="A689" s="91">
        <v>39173</v>
      </c>
      <c r="B689">
        <v>1420.829956</v>
      </c>
      <c r="C689">
        <v>1498.0200199999999</v>
      </c>
      <c r="D689">
        <v>1416.369995</v>
      </c>
      <c r="E689">
        <v>1482.369995</v>
      </c>
      <c r="F689">
        <v>1482.369995</v>
      </c>
      <c r="G689">
        <v>57032470000</v>
      </c>
      <c r="H689" s="93">
        <f t="shared" si="35"/>
        <v>1.0099729218874942</v>
      </c>
      <c r="I689">
        <f t="shared" si="37"/>
        <v>1.0905301720399032</v>
      </c>
      <c r="J689">
        <f t="shared" si="36"/>
        <v>1.7974407646344136E-2</v>
      </c>
      <c r="K689" s="91">
        <v>39173</v>
      </c>
      <c r="Q689">
        <v>1621414.9660899078</v>
      </c>
    </row>
    <row r="690" spans="1:17">
      <c r="A690" s="91">
        <v>39203</v>
      </c>
      <c r="B690">
        <v>1482.369995</v>
      </c>
      <c r="C690">
        <v>1535.5600589999999</v>
      </c>
      <c r="D690">
        <v>1476.6999510000001</v>
      </c>
      <c r="E690">
        <v>1530.619995</v>
      </c>
      <c r="F690">
        <v>1530.619995</v>
      </c>
      <c r="G690">
        <v>64958050000</v>
      </c>
      <c r="H690" s="93">
        <f t="shared" si="35"/>
        <v>1.0433127403741198</v>
      </c>
      <c r="I690">
        <f t="shared" si="37"/>
        <v>1.1310534880443475</v>
      </c>
      <c r="J690">
        <f t="shared" si="36"/>
        <v>2.0726019629919039E-2</v>
      </c>
      <c r="K690" s="91">
        <v>39203</v>
      </c>
      <c r="Q690">
        <v>3476473.4911979083</v>
      </c>
    </row>
    <row r="691" spans="1:17">
      <c r="A691" s="91">
        <v>39234</v>
      </c>
      <c r="B691">
        <v>1530.619995</v>
      </c>
      <c r="C691">
        <v>1540.5600589999999</v>
      </c>
      <c r="D691">
        <v>1484.1800539999999</v>
      </c>
      <c r="E691">
        <v>1503.349976</v>
      </c>
      <c r="F691">
        <v>1503.349976</v>
      </c>
      <c r="G691">
        <v>65322800000</v>
      </c>
      <c r="H691" s="93">
        <f t="shared" si="35"/>
        <v>1.0325492287099349</v>
      </c>
      <c r="I691">
        <f t="shared" si="37"/>
        <v>1.2051651005447896</v>
      </c>
      <c r="J691">
        <f t="shared" si="36"/>
        <v>1.6938521272992283E-2</v>
      </c>
      <c r="K691" s="91">
        <v>39234</v>
      </c>
      <c r="Q691">
        <v>4460176.5992922178</v>
      </c>
    </row>
    <row r="692" spans="1:17">
      <c r="A692" s="91">
        <v>39264</v>
      </c>
      <c r="B692">
        <v>1504.660034</v>
      </c>
      <c r="C692">
        <v>1555.900024</v>
      </c>
      <c r="D692">
        <v>1454.25</v>
      </c>
      <c r="E692">
        <v>1455.2700199999999</v>
      </c>
      <c r="F692">
        <v>1455.2700199999999</v>
      </c>
      <c r="G692">
        <v>70337430000</v>
      </c>
      <c r="H692" s="93">
        <f t="shared" si="35"/>
        <v>0.98303957802406727</v>
      </c>
      <c r="I692">
        <f t="shared" si="37"/>
        <v>1.1847156544586686</v>
      </c>
      <c r="J692">
        <f t="shared" si="36"/>
        <v>1.8964121232011202E-2</v>
      </c>
      <c r="K692" s="91">
        <v>39264</v>
      </c>
      <c r="Q692">
        <v>4668138.529451645</v>
      </c>
    </row>
    <row r="693" spans="1:17">
      <c r="A693" s="91">
        <v>39295</v>
      </c>
      <c r="B693">
        <v>1455.1800539999999</v>
      </c>
      <c r="C693">
        <v>1503.8900149999999</v>
      </c>
      <c r="D693">
        <v>1370.599976</v>
      </c>
      <c r="E693">
        <v>1473.98999</v>
      </c>
      <c r="F693">
        <v>1473.98999</v>
      </c>
      <c r="G693">
        <v>91381760000</v>
      </c>
      <c r="H693" s="93">
        <f t="shared" si="35"/>
        <v>0.96711550856543849</v>
      </c>
      <c r="I693">
        <f t="shared" si="37"/>
        <v>1.1381665044959222</v>
      </c>
      <c r="J693">
        <f t="shared" si="36"/>
        <v>2.3356602026526566E-2</v>
      </c>
      <c r="K693" s="91">
        <v>39295</v>
      </c>
      <c r="Q693">
        <v>1968408.7400664177</v>
      </c>
    </row>
    <row r="694" spans="1:17">
      <c r="A694" s="91">
        <v>39326</v>
      </c>
      <c r="B694">
        <v>1473.959961</v>
      </c>
      <c r="C694">
        <v>1538.73999</v>
      </c>
      <c r="D694">
        <v>1439.290039</v>
      </c>
      <c r="E694">
        <v>1526.75</v>
      </c>
      <c r="F694">
        <v>1526.75</v>
      </c>
      <c r="G694">
        <v>57809700000</v>
      </c>
      <c r="H694" s="93">
        <f t="shared" si="35"/>
        <v>1.0129055555347792</v>
      </c>
      <c r="I694">
        <f t="shared" si="37"/>
        <v>1.1305107421421796</v>
      </c>
      <c r="J694">
        <f t="shared" si="36"/>
        <v>2.320854546642644E-2</v>
      </c>
      <c r="K694" s="91">
        <v>39326</v>
      </c>
      <c r="Q694">
        <v>1386233.316037246</v>
      </c>
    </row>
    <row r="695" spans="1:17">
      <c r="A695" s="91">
        <v>39356</v>
      </c>
      <c r="B695">
        <v>1527.290039</v>
      </c>
      <c r="C695">
        <v>1576.089966</v>
      </c>
      <c r="D695">
        <v>1489.5600589999999</v>
      </c>
      <c r="E695">
        <v>1549.380005</v>
      </c>
      <c r="F695">
        <v>1549.380005</v>
      </c>
      <c r="G695">
        <v>76022580000</v>
      </c>
      <c r="H695" s="93">
        <f t="shared" si="35"/>
        <v>1.0361814970630672</v>
      </c>
      <c r="I695">
        <f t="shared" si="37"/>
        <v>1.143335255303936</v>
      </c>
      <c r="J695">
        <f t="shared" si="36"/>
        <v>2.4074003585154258E-2</v>
      </c>
      <c r="K695" s="91">
        <v>39356</v>
      </c>
      <c r="Q695">
        <v>9259063.7097639237</v>
      </c>
    </row>
    <row r="696" spans="1:17">
      <c r="A696" s="91">
        <v>39387</v>
      </c>
      <c r="B696">
        <v>1545.790039</v>
      </c>
      <c r="C696">
        <v>1545.790039</v>
      </c>
      <c r="D696">
        <v>1406.099976</v>
      </c>
      <c r="E696">
        <v>1481.1400149999999</v>
      </c>
      <c r="F696">
        <v>1481.1400149999999</v>
      </c>
      <c r="G696">
        <v>86246950000</v>
      </c>
      <c r="H696" s="93">
        <f t="shared" si="35"/>
        <v>1.0121129579369961</v>
      </c>
      <c r="I696">
        <f t="shared" si="37"/>
        <v>1.121958851890323</v>
      </c>
      <c r="J696">
        <f t="shared" si="36"/>
        <v>2.3254060072428716E-2</v>
      </c>
      <c r="K696" s="91">
        <v>39387</v>
      </c>
      <c r="Q696">
        <v>2233923.794536327</v>
      </c>
    </row>
    <row r="697" spans="1:17">
      <c r="A697" s="91">
        <v>39417</v>
      </c>
      <c r="B697">
        <v>1479.630005</v>
      </c>
      <c r="C697">
        <v>1523.5699460000001</v>
      </c>
      <c r="D697">
        <v>1435.650024</v>
      </c>
      <c r="E697">
        <v>1468.3599850000001</v>
      </c>
      <c r="F697">
        <v>1468.3599850000001</v>
      </c>
      <c r="G697">
        <v>64821670000</v>
      </c>
      <c r="H697" s="93">
        <f t="shared" si="35"/>
        <v>0.95719985746395408</v>
      </c>
      <c r="I697">
        <f t="shared" si="37"/>
        <v>1.0564031897917252</v>
      </c>
      <c r="J697">
        <f t="shared" si="36"/>
        <v>2.7608698718270961E-2</v>
      </c>
      <c r="K697" s="91">
        <v>39417</v>
      </c>
      <c r="Q697">
        <v>736930.06024102238</v>
      </c>
    </row>
    <row r="698" spans="1:17">
      <c r="A698" s="91">
        <v>39448</v>
      </c>
      <c r="B698">
        <v>1467.969971</v>
      </c>
      <c r="C698">
        <v>1471.7700199999999</v>
      </c>
      <c r="D698">
        <v>1270.0500489999999</v>
      </c>
      <c r="E698">
        <v>1378.5500489999999</v>
      </c>
      <c r="F698">
        <v>1378.5500489999999</v>
      </c>
      <c r="G698">
        <v>98475340000</v>
      </c>
      <c r="H698" s="93">
        <f t="shared" si="35"/>
        <v>0.99211962858241709</v>
      </c>
      <c r="I698">
        <f t="shared" si="37"/>
        <v>1.0352178310604732</v>
      </c>
      <c r="J698">
        <f t="shared" si="36"/>
        <v>2.7729824008804631E-2</v>
      </c>
      <c r="K698" s="91">
        <v>39448</v>
      </c>
      <c r="Q698">
        <v>2532654.7487929161</v>
      </c>
    </row>
    <row r="699" spans="1:17">
      <c r="A699" s="91">
        <v>39479</v>
      </c>
      <c r="B699">
        <v>1378.599976</v>
      </c>
      <c r="C699">
        <v>1396.0200199999999</v>
      </c>
      <c r="D699">
        <v>1316.75</v>
      </c>
      <c r="E699">
        <v>1330.630005</v>
      </c>
      <c r="F699">
        <v>1330.630005</v>
      </c>
      <c r="G699">
        <v>78536130000</v>
      </c>
      <c r="H699" s="93">
        <f t="shared" si="35"/>
        <v>0.93912001146786395</v>
      </c>
      <c r="I699">
        <f t="shared" si="37"/>
        <v>0.9587592690658443</v>
      </c>
      <c r="J699">
        <f t="shared" si="36"/>
        <v>3.3010275312846893E-2</v>
      </c>
      <c r="K699" s="91">
        <v>39479</v>
      </c>
      <c r="Q699">
        <v>13466228.021660605</v>
      </c>
    </row>
    <row r="700" spans="1:17">
      <c r="A700" s="91">
        <v>39508</v>
      </c>
      <c r="B700">
        <v>1330.4499510000001</v>
      </c>
      <c r="C700">
        <v>1359.6800539999999</v>
      </c>
      <c r="D700">
        <v>1256.9799800000001</v>
      </c>
      <c r="E700">
        <v>1322.6999510000001</v>
      </c>
      <c r="F700">
        <v>1322.6999510000001</v>
      </c>
      <c r="G700">
        <v>93189170000</v>
      </c>
      <c r="H700" s="93">
        <f t="shared" si="35"/>
        <v>0.96507324398792826</v>
      </c>
      <c r="I700">
        <f t="shared" si="37"/>
        <v>0.94572782531940336</v>
      </c>
      <c r="J700">
        <f t="shared" si="36"/>
        <v>3.390362519019624E-2</v>
      </c>
      <c r="K700" s="91">
        <v>39508</v>
      </c>
      <c r="Q700">
        <v>2528748.9098064732</v>
      </c>
    </row>
    <row r="701" spans="1:17">
      <c r="A701" s="91">
        <v>39539</v>
      </c>
      <c r="B701">
        <v>1326.410034</v>
      </c>
      <c r="C701">
        <v>1404.5699460000001</v>
      </c>
      <c r="D701">
        <v>1324.349976</v>
      </c>
      <c r="E701">
        <v>1385.589966</v>
      </c>
      <c r="F701">
        <v>1385.589966</v>
      </c>
      <c r="G701">
        <v>85978630000</v>
      </c>
      <c r="H701" s="93">
        <f t="shared" si="35"/>
        <v>0.99696349569785503</v>
      </c>
      <c r="I701">
        <f t="shared" si="37"/>
        <v>0.93354593799118912</v>
      </c>
      <c r="J701">
        <f t="shared" si="36"/>
        <v>3.3619235612095094E-2</v>
      </c>
      <c r="K701" s="91">
        <v>39539</v>
      </c>
      <c r="Q701">
        <v>3272162.3185044401</v>
      </c>
    </row>
    <row r="702" spans="1:17">
      <c r="A702" s="91">
        <v>39569</v>
      </c>
      <c r="B702">
        <v>1385.969971</v>
      </c>
      <c r="C702">
        <v>1440.23999</v>
      </c>
      <c r="D702">
        <v>1373.0699460000001</v>
      </c>
      <c r="E702">
        <v>1400.380005</v>
      </c>
      <c r="F702">
        <v>1400.380005</v>
      </c>
      <c r="G702">
        <v>80990480000</v>
      </c>
      <c r="H702" s="93">
        <f t="shared" si="35"/>
        <v>1.0449031110088842</v>
      </c>
      <c r="I702">
        <f t="shared" si="37"/>
        <v>0.93496898593120803</v>
      </c>
      <c r="J702">
        <f t="shared" si="36"/>
        <v>3.3830302828734289E-2</v>
      </c>
      <c r="K702" s="91">
        <v>39569</v>
      </c>
      <c r="Q702">
        <v>2423496.4565596925</v>
      </c>
    </row>
    <row r="703" spans="1:17">
      <c r="A703" s="91">
        <v>39600</v>
      </c>
      <c r="B703">
        <v>1399.619995</v>
      </c>
      <c r="C703">
        <v>1404.0500489999999</v>
      </c>
      <c r="D703">
        <v>1272</v>
      </c>
      <c r="E703">
        <v>1280</v>
      </c>
      <c r="F703">
        <v>1280</v>
      </c>
      <c r="G703">
        <v>96614040000</v>
      </c>
      <c r="H703" s="93">
        <f t="shared" si="35"/>
        <v>1.0098487155462332</v>
      </c>
      <c r="I703">
        <f t="shared" si="37"/>
        <v>0.9144137666906671</v>
      </c>
      <c r="J703">
        <f t="shared" si="36"/>
        <v>3.2127968734456717E-2</v>
      </c>
      <c r="K703" s="91">
        <v>39600</v>
      </c>
      <c r="Q703">
        <v>1249677.1604770725</v>
      </c>
    </row>
    <row r="704" spans="1:17">
      <c r="A704" s="91">
        <v>39630</v>
      </c>
      <c r="B704">
        <v>1276.6899410000001</v>
      </c>
      <c r="C704">
        <v>1292.170044</v>
      </c>
      <c r="D704">
        <v>1200.4399410000001</v>
      </c>
      <c r="E704">
        <v>1267.380005</v>
      </c>
      <c r="F704">
        <v>1267.380005</v>
      </c>
      <c r="G704" s="92">
        <v>124981000000</v>
      </c>
      <c r="H704" s="93">
        <f t="shared" si="35"/>
        <v>0.91216897840902889</v>
      </c>
      <c r="I704">
        <f t="shared" si="37"/>
        <v>0.84849063054199525</v>
      </c>
      <c r="J704">
        <f t="shared" si="36"/>
        <v>3.9745838935907184E-2</v>
      </c>
      <c r="K704" s="91">
        <v>39630</v>
      </c>
      <c r="Q704">
        <v>1752513.484197563</v>
      </c>
    </row>
    <row r="705" spans="1:17">
      <c r="A705" s="91">
        <v>39661</v>
      </c>
      <c r="B705">
        <v>1269.420044</v>
      </c>
      <c r="C705">
        <v>1313.150024</v>
      </c>
      <c r="D705">
        <v>1247.4499510000001</v>
      </c>
      <c r="E705">
        <v>1282.829956</v>
      </c>
      <c r="F705">
        <v>1282.829956</v>
      </c>
      <c r="G705">
        <v>86266010000</v>
      </c>
      <c r="H705" s="93">
        <f t="shared" si="35"/>
        <v>0.99430566751837501</v>
      </c>
      <c r="I705">
        <f t="shared" si="37"/>
        <v>0.87234568705818727</v>
      </c>
      <c r="J705">
        <f t="shared" si="36"/>
        <v>3.9272543135196313E-2</v>
      </c>
      <c r="K705" s="91">
        <v>39661</v>
      </c>
      <c r="Q705">
        <v>1446868.0674112421</v>
      </c>
    </row>
    <row r="706" spans="1:17">
      <c r="A706" s="91">
        <v>39692</v>
      </c>
      <c r="B706">
        <v>1287.829956</v>
      </c>
      <c r="C706">
        <v>1303.040039</v>
      </c>
      <c r="D706">
        <v>1106.420044</v>
      </c>
      <c r="E706">
        <v>1166.3599850000001</v>
      </c>
      <c r="F706">
        <v>1166.3599850000001</v>
      </c>
      <c r="G706" s="92">
        <v>140007000000</v>
      </c>
      <c r="H706" s="93">
        <f t="shared" si="35"/>
        <v>1.0145026164404884</v>
      </c>
      <c r="I706">
        <f t="shared" si="37"/>
        <v>0.87372112545464187</v>
      </c>
      <c r="J706">
        <f t="shared" si="36"/>
        <v>3.9362013767878019E-2</v>
      </c>
      <c r="K706" s="91">
        <v>39692</v>
      </c>
      <c r="Q706">
        <v>12436817.392466621</v>
      </c>
    </row>
    <row r="707" spans="1:17">
      <c r="A707" s="91">
        <v>39722</v>
      </c>
      <c r="B707">
        <v>1164.170044</v>
      </c>
      <c r="C707">
        <v>1167.030029</v>
      </c>
      <c r="D707">
        <v>839.79998799999998</v>
      </c>
      <c r="E707">
        <v>968.75</v>
      </c>
      <c r="F707">
        <v>968.75</v>
      </c>
      <c r="G707" s="92">
        <v>159823000000</v>
      </c>
      <c r="H707" s="93">
        <f t="shared" si="35"/>
        <v>0.90397807457120516</v>
      </c>
      <c r="I707">
        <f t="shared" si="37"/>
        <v>0.76224555537744854</v>
      </c>
      <c r="J707">
        <f t="shared" si="36"/>
        <v>4.3413885873946026E-2</v>
      </c>
      <c r="K707" s="91">
        <v>39722</v>
      </c>
      <c r="Q707">
        <v>4658513.1813823171</v>
      </c>
    </row>
    <row r="708" spans="1:17">
      <c r="A708" s="91">
        <v>39753</v>
      </c>
      <c r="B708">
        <v>968.669983</v>
      </c>
      <c r="C708">
        <v>1007.51001</v>
      </c>
      <c r="D708">
        <v>741.02002000000005</v>
      </c>
      <c r="E708">
        <v>896.23999000000003</v>
      </c>
      <c r="F708">
        <v>896.23999000000003</v>
      </c>
      <c r="G708" s="92">
        <v>115660000000</v>
      </c>
      <c r="H708" s="93">
        <f t="shared" ref="H708:H771" si="38">B708/B707</f>
        <v>0.83206915346466348</v>
      </c>
      <c r="I708">
        <f t="shared" si="37"/>
        <v>0.62665042377077962</v>
      </c>
      <c r="J708">
        <f t="shared" si="36"/>
        <v>5.9047100504381847E-2</v>
      </c>
      <c r="K708" s="91">
        <v>39753</v>
      </c>
      <c r="Q708">
        <v>2379711.3988347691</v>
      </c>
    </row>
    <row r="709" spans="1:17">
      <c r="A709" s="91">
        <v>39783</v>
      </c>
      <c r="B709">
        <v>888.60998500000005</v>
      </c>
      <c r="C709">
        <v>918.84997599999997</v>
      </c>
      <c r="D709">
        <v>815.69000200000005</v>
      </c>
      <c r="E709">
        <v>903.25</v>
      </c>
      <c r="F709">
        <v>903.25</v>
      </c>
      <c r="G709" s="92">
        <v>112884000000</v>
      </c>
      <c r="H709" s="93">
        <f t="shared" si="38"/>
        <v>0.91735059472778158</v>
      </c>
      <c r="I709">
        <f t="shared" si="37"/>
        <v>0.60056229057074306</v>
      </c>
      <c r="J709">
        <f t="shared" si="36"/>
        <v>6.0536678368281756E-2</v>
      </c>
      <c r="K709" s="91">
        <v>39783</v>
      </c>
      <c r="Q709">
        <v>9722713.8028245941</v>
      </c>
    </row>
    <row r="710" spans="1:17">
      <c r="A710" s="91">
        <v>39814</v>
      </c>
      <c r="B710">
        <v>902.98999000000003</v>
      </c>
      <c r="C710">
        <v>943.84997599999997</v>
      </c>
      <c r="D710">
        <v>804.29998799999998</v>
      </c>
      <c r="E710">
        <v>825.88000499999998</v>
      </c>
      <c r="F710">
        <v>825.88000499999998</v>
      </c>
      <c r="G710" s="92">
        <v>112091000000</v>
      </c>
      <c r="H710" s="93">
        <f t="shared" si="38"/>
        <v>1.0161825831835549</v>
      </c>
      <c r="I710">
        <f t="shared" si="37"/>
        <v>0.61512837989790192</v>
      </c>
      <c r="J710">
        <f t="shared" si="36"/>
        <v>6.20692467320118E-2</v>
      </c>
      <c r="K710" s="91">
        <v>39814</v>
      </c>
      <c r="Q710">
        <v>13206254.556789519</v>
      </c>
    </row>
    <row r="711" spans="1:17">
      <c r="A711" s="91">
        <v>39845</v>
      </c>
      <c r="B711">
        <v>823.09002699999996</v>
      </c>
      <c r="C711">
        <v>875.01000999999997</v>
      </c>
      <c r="D711">
        <v>734.52002000000005</v>
      </c>
      <c r="E711">
        <v>735.09002699999996</v>
      </c>
      <c r="F711">
        <v>735.09002699999996</v>
      </c>
      <c r="G711" s="92">
        <v>124492000000</v>
      </c>
      <c r="H711" s="93">
        <f t="shared" si="38"/>
        <v>0.91151622511341457</v>
      </c>
      <c r="I711">
        <f t="shared" si="37"/>
        <v>0.59704775955980427</v>
      </c>
      <c r="J711">
        <f t="shared" si="36"/>
        <v>6.3497653363850756E-2</v>
      </c>
      <c r="K711" s="91">
        <v>39845</v>
      </c>
      <c r="Q711">
        <v>2293654.2936746348</v>
      </c>
    </row>
    <row r="712" spans="1:17">
      <c r="A712" s="91">
        <v>39873</v>
      </c>
      <c r="B712">
        <v>729.57000700000003</v>
      </c>
      <c r="C712">
        <v>832.97997999999995</v>
      </c>
      <c r="D712">
        <v>666.78997800000002</v>
      </c>
      <c r="E712">
        <v>797.86999500000002</v>
      </c>
      <c r="F712">
        <v>797.86999500000002</v>
      </c>
      <c r="G712" s="92">
        <v>161844000000</v>
      </c>
      <c r="H712" s="93">
        <f t="shared" si="38"/>
        <v>0.88637935470939688</v>
      </c>
      <c r="I712">
        <f t="shared" si="37"/>
        <v>0.54836336117088558</v>
      </c>
      <c r="J712">
        <f t="shared" si="36"/>
        <v>6.6888477846857031E-2</v>
      </c>
      <c r="K712" s="91">
        <v>39873</v>
      </c>
      <c r="Q712">
        <v>706285.52846210916</v>
      </c>
    </row>
    <row r="713" spans="1:17">
      <c r="A713" s="91">
        <v>39904</v>
      </c>
      <c r="B713">
        <v>793.59002699999996</v>
      </c>
      <c r="C713">
        <v>888.70001200000002</v>
      </c>
      <c r="D713">
        <v>783.32000700000003</v>
      </c>
      <c r="E713">
        <v>872.80999799999995</v>
      </c>
      <c r="F713">
        <v>872.80999799999995</v>
      </c>
      <c r="G713" s="92">
        <v>138855000000</v>
      </c>
      <c r="H713" s="93">
        <f t="shared" si="38"/>
        <v>1.0877503452523369</v>
      </c>
      <c r="I713">
        <f t="shared" si="37"/>
        <v>0.59829917345151806</v>
      </c>
      <c r="J713">
        <f t="shared" si="36"/>
        <v>7.6686901916180994E-2</v>
      </c>
      <c r="K713" s="91">
        <v>39904</v>
      </c>
      <c r="Q713">
        <v>943454.63332871196</v>
      </c>
    </row>
    <row r="714" spans="1:17">
      <c r="A714" s="91">
        <v>39934</v>
      </c>
      <c r="B714">
        <v>872.73999000000003</v>
      </c>
      <c r="C714">
        <v>930.169983</v>
      </c>
      <c r="D714">
        <v>866.09997599999997</v>
      </c>
      <c r="E714">
        <v>919.14001499999995</v>
      </c>
      <c r="F714">
        <v>919.14001499999995</v>
      </c>
      <c r="G714" s="92">
        <v>131615000000</v>
      </c>
      <c r="H714" s="93">
        <f t="shared" si="38"/>
        <v>1.0997365898097407</v>
      </c>
      <c r="I714">
        <f t="shared" si="37"/>
        <v>0.62969617543034062</v>
      </c>
      <c r="J714">
        <f t="shared" si="36"/>
        <v>8.3479331476929236E-2</v>
      </c>
      <c r="K714" s="91">
        <v>39934</v>
      </c>
      <c r="Q714">
        <v>6474258.0759093957</v>
      </c>
    </row>
    <row r="715" spans="1:17">
      <c r="A715" s="91">
        <v>39965</v>
      </c>
      <c r="B715">
        <v>923.26000999999997</v>
      </c>
      <c r="C715">
        <v>956.22997999999995</v>
      </c>
      <c r="D715">
        <v>888.85998500000005</v>
      </c>
      <c r="E715">
        <v>919.32000700000003</v>
      </c>
      <c r="F715">
        <v>919.32000700000003</v>
      </c>
      <c r="G715" s="92">
        <v>112653000000</v>
      </c>
      <c r="H715" s="93">
        <f t="shared" si="38"/>
        <v>1.0578866793992101</v>
      </c>
      <c r="I715">
        <f t="shared" si="37"/>
        <v>0.65965048605925347</v>
      </c>
      <c r="J715">
        <f t="shared" si="36"/>
        <v>8.6882712422501354E-2</v>
      </c>
      <c r="K715" s="91">
        <v>39965</v>
      </c>
      <c r="Q715">
        <v>1893046.1781652695</v>
      </c>
    </row>
    <row r="716" spans="1:17">
      <c r="A716" s="91">
        <v>39995</v>
      </c>
      <c r="B716">
        <v>920.82000700000003</v>
      </c>
      <c r="C716">
        <v>996.67999299999997</v>
      </c>
      <c r="D716">
        <v>869.32000700000003</v>
      </c>
      <c r="E716">
        <v>987.47997999999995</v>
      </c>
      <c r="F716">
        <v>987.47997999999995</v>
      </c>
      <c r="G716" s="92">
        <v>106636000000</v>
      </c>
      <c r="H716" s="93">
        <f t="shared" si="38"/>
        <v>0.99735718760308922</v>
      </c>
      <c r="I716">
        <f t="shared" si="37"/>
        <v>0.72125578609849794</v>
      </c>
      <c r="J716">
        <f t="shared" si="36"/>
        <v>8.5238459837416403E-2</v>
      </c>
      <c r="K716" s="91">
        <v>39995</v>
      </c>
      <c r="Q716">
        <v>9866330.7578568663</v>
      </c>
    </row>
    <row r="717" spans="1:17">
      <c r="A717" s="91">
        <v>40026</v>
      </c>
      <c r="B717">
        <v>990.21997099999999</v>
      </c>
      <c r="C717">
        <v>1039.469971</v>
      </c>
      <c r="D717">
        <v>978.51000999999997</v>
      </c>
      <c r="E717">
        <v>1020.619995</v>
      </c>
      <c r="F717">
        <v>1020.619995</v>
      </c>
      <c r="G717" s="92">
        <v>116059000000</v>
      </c>
      <c r="H717" s="93">
        <f t="shared" si="38"/>
        <v>1.075367567464246</v>
      </c>
      <c r="I717">
        <f t="shared" si="37"/>
        <v>0.78005698403798007</v>
      </c>
      <c r="J717">
        <f t="shared" si="36"/>
        <v>8.9857462674150054E-2</v>
      </c>
      <c r="K717" s="91">
        <v>40026</v>
      </c>
      <c r="Q717">
        <v>1840631.2452591276</v>
      </c>
    </row>
    <row r="718" spans="1:17">
      <c r="A718" s="91">
        <v>40057</v>
      </c>
      <c r="B718">
        <v>1019.52002</v>
      </c>
      <c r="C718">
        <v>1080.150024</v>
      </c>
      <c r="D718">
        <v>991.96997099999999</v>
      </c>
      <c r="E718">
        <v>1057.079956</v>
      </c>
      <c r="F718">
        <v>1057.079956</v>
      </c>
      <c r="G718" s="92">
        <v>112295000000</v>
      </c>
      <c r="H718" s="93">
        <f t="shared" si="38"/>
        <v>1.0295894345277754</v>
      </c>
      <c r="I718">
        <f t="shared" si="37"/>
        <v>0.79165732653605081</v>
      </c>
      <c r="J718">
        <f t="shared" si="36"/>
        <v>9.0436789101287288E-2</v>
      </c>
      <c r="K718" s="91">
        <v>40057</v>
      </c>
      <c r="Q718">
        <v>11832217.444014354</v>
      </c>
    </row>
    <row r="719" spans="1:17">
      <c r="A719" s="91">
        <v>40087</v>
      </c>
      <c r="B719">
        <v>1054.910034</v>
      </c>
      <c r="C719">
        <v>1101.3599850000001</v>
      </c>
      <c r="D719">
        <v>1019.950012</v>
      </c>
      <c r="E719">
        <v>1036.1899410000001</v>
      </c>
      <c r="F719">
        <v>1036.1899410000001</v>
      </c>
      <c r="G719" s="92">
        <v>113411000000</v>
      </c>
      <c r="H719" s="93">
        <f t="shared" si="38"/>
        <v>1.0347124267358674</v>
      </c>
      <c r="I719">
        <f t="shared" si="37"/>
        <v>0.90614772252291353</v>
      </c>
      <c r="J719">
        <f t="shared" ref="J719:J782" si="39">_xlfn.STDEV.S(H708:H719)</f>
        <v>8.7674398282011609E-2</v>
      </c>
      <c r="K719" s="91">
        <v>40087</v>
      </c>
      <c r="Q719">
        <v>2629462.0875114868</v>
      </c>
    </row>
    <row r="720" spans="1:17">
      <c r="A720" s="91">
        <v>40118</v>
      </c>
      <c r="B720">
        <v>1036.1800539999999</v>
      </c>
      <c r="C720">
        <v>1113.6899410000001</v>
      </c>
      <c r="D720">
        <v>1029.380005</v>
      </c>
      <c r="E720">
        <v>1095.630005</v>
      </c>
      <c r="F720">
        <v>1095.630005</v>
      </c>
      <c r="G720">
        <v>84981530000</v>
      </c>
      <c r="H720" s="93">
        <f t="shared" si="38"/>
        <v>0.98224495037839399</v>
      </c>
      <c r="I720">
        <f t="shared" ref="I720:I783" si="40">B720/B708</f>
        <v>1.069693571788938</v>
      </c>
      <c r="J720">
        <f t="shared" si="39"/>
        <v>7.1442289445170559E-2</v>
      </c>
      <c r="K720" s="91">
        <v>40118</v>
      </c>
      <c r="Q720">
        <v>10273098.691422693</v>
      </c>
    </row>
    <row r="721" spans="1:17">
      <c r="A721" s="91">
        <v>40148</v>
      </c>
      <c r="B721">
        <v>1098.8900149999999</v>
      </c>
      <c r="C721">
        <v>1130.380005</v>
      </c>
      <c r="D721">
        <v>1085.8900149999999</v>
      </c>
      <c r="E721">
        <v>1115.099976</v>
      </c>
      <c r="F721">
        <v>1115.099976</v>
      </c>
      <c r="G721">
        <v>89515330000</v>
      </c>
      <c r="H721" s="93">
        <f t="shared" si="38"/>
        <v>1.0605203321159471</v>
      </c>
      <c r="I721">
        <f t="shared" si="40"/>
        <v>1.236639283318429</v>
      </c>
      <c r="J721">
        <f t="shared" si="39"/>
        <v>6.6725477686875062E-2</v>
      </c>
      <c r="K721" s="91">
        <v>40148</v>
      </c>
      <c r="Q721">
        <v>2502611.859082507</v>
      </c>
    </row>
    <row r="722" spans="1:17">
      <c r="A722" s="91">
        <v>40179</v>
      </c>
      <c r="B722">
        <v>1116.5600589999999</v>
      </c>
      <c r="C722">
        <v>1150.4499510000001</v>
      </c>
      <c r="D722">
        <v>1071.589966</v>
      </c>
      <c r="E722">
        <v>1073.869995</v>
      </c>
      <c r="F722">
        <v>1073.869995</v>
      </c>
      <c r="G722">
        <v>90947580000</v>
      </c>
      <c r="H722" s="93">
        <f t="shared" si="38"/>
        <v>1.0160799022275218</v>
      </c>
      <c r="I722">
        <f t="shared" si="40"/>
        <v>1.2365143261444127</v>
      </c>
      <c r="J722">
        <f t="shared" si="39"/>
        <v>6.6726009492958649E-2</v>
      </c>
      <c r="K722" s="91">
        <v>40179</v>
      </c>
      <c r="Q722">
        <v>1869448.1560582053</v>
      </c>
    </row>
    <row r="723" spans="1:17">
      <c r="A723" s="91">
        <v>40210</v>
      </c>
      <c r="B723">
        <v>1073.8900149999999</v>
      </c>
      <c r="C723">
        <v>1112.420044</v>
      </c>
      <c r="D723">
        <v>1044.5</v>
      </c>
      <c r="E723">
        <v>1104.48999</v>
      </c>
      <c r="F723">
        <v>1104.48999</v>
      </c>
      <c r="G723">
        <v>84561340000</v>
      </c>
      <c r="H723" s="93">
        <f t="shared" si="38"/>
        <v>0.96178437186960131</v>
      </c>
      <c r="I723">
        <f t="shared" si="40"/>
        <v>1.3047054146848507</v>
      </c>
      <c r="J723">
        <f t="shared" si="39"/>
        <v>6.0597717176418077E-2</v>
      </c>
      <c r="K723" s="91">
        <v>40210</v>
      </c>
      <c r="Q723">
        <v>4982210.4902298506</v>
      </c>
    </row>
    <row r="724" spans="1:17">
      <c r="A724" s="91">
        <v>40238</v>
      </c>
      <c r="B724">
        <v>1105.3599850000001</v>
      </c>
      <c r="C724">
        <v>1180.6899410000001</v>
      </c>
      <c r="D724">
        <v>1105.3599850000001</v>
      </c>
      <c r="E724">
        <v>1169.4300539999999</v>
      </c>
      <c r="F724">
        <v>1169.4300539999999</v>
      </c>
      <c r="G724" s="92">
        <v>103684000000</v>
      </c>
      <c r="H724" s="93">
        <f t="shared" si="38"/>
        <v>1.0293046490426676</v>
      </c>
      <c r="I724">
        <f t="shared" si="40"/>
        <v>1.5150841925989427</v>
      </c>
      <c r="J724">
        <f t="shared" si="39"/>
        <v>4.2368238067904164E-2</v>
      </c>
      <c r="K724" s="91">
        <v>40238</v>
      </c>
      <c r="Q724">
        <v>4987994.4403650621</v>
      </c>
    </row>
    <row r="725" spans="1:17">
      <c r="A725" s="91">
        <v>40269</v>
      </c>
      <c r="B725">
        <v>1171.2299800000001</v>
      </c>
      <c r="C725">
        <v>1219.8000489999999</v>
      </c>
      <c r="D725">
        <v>1170.6899410000001</v>
      </c>
      <c r="E725">
        <v>1186.6899410000001</v>
      </c>
      <c r="F725">
        <v>1186.6899410000001</v>
      </c>
      <c r="G725" s="92">
        <v>116742000000</v>
      </c>
      <c r="H725" s="93">
        <f t="shared" si="38"/>
        <v>1.0595914416062384</v>
      </c>
      <c r="I725">
        <f t="shared" si="40"/>
        <v>1.4758627756797655</v>
      </c>
      <c r="J725">
        <f t="shared" si="39"/>
        <v>3.9954171499956968E-2</v>
      </c>
      <c r="K725" s="91">
        <v>40269</v>
      </c>
      <c r="Q725">
        <v>1674068.4819471003</v>
      </c>
    </row>
    <row r="726" spans="1:17">
      <c r="A726" s="91">
        <v>40299</v>
      </c>
      <c r="B726">
        <v>1188.579956</v>
      </c>
      <c r="C726">
        <v>1205.130005</v>
      </c>
      <c r="D726">
        <v>1040.780029</v>
      </c>
      <c r="E726">
        <v>1089.410034</v>
      </c>
      <c r="F726">
        <v>1089.410034</v>
      </c>
      <c r="G726" s="92">
        <v>127663000000</v>
      </c>
      <c r="H726" s="93">
        <f t="shared" si="38"/>
        <v>1.0148134664380772</v>
      </c>
      <c r="I726">
        <f t="shared" si="40"/>
        <v>1.3618946875575164</v>
      </c>
      <c r="J726">
        <f t="shared" si="39"/>
        <v>3.4313252359713088E-2</v>
      </c>
      <c r="K726" s="91">
        <v>40299</v>
      </c>
      <c r="Q726">
        <v>10971366.323824106</v>
      </c>
    </row>
    <row r="727" spans="1:17">
      <c r="A727" s="91">
        <v>40330</v>
      </c>
      <c r="B727">
        <v>1087.3000489999999</v>
      </c>
      <c r="C727">
        <v>1131.2299800000001</v>
      </c>
      <c r="D727">
        <v>1028.329956</v>
      </c>
      <c r="E727">
        <v>1030.709961</v>
      </c>
      <c r="F727">
        <v>1030.709961</v>
      </c>
      <c r="G727" s="92">
        <v>110107000000</v>
      </c>
      <c r="H727" s="93">
        <f t="shared" si="38"/>
        <v>0.91478915113052761</v>
      </c>
      <c r="I727">
        <f t="shared" si="40"/>
        <v>1.1776748014895608</v>
      </c>
      <c r="J727">
        <f t="shared" si="39"/>
        <v>4.5496296725104579E-2</v>
      </c>
      <c r="K727" s="91">
        <v>40330</v>
      </c>
      <c r="Q727">
        <v>3975134.9893766427</v>
      </c>
    </row>
    <row r="728" spans="1:17">
      <c r="A728" s="91">
        <v>40360</v>
      </c>
      <c r="B728">
        <v>1031.099976</v>
      </c>
      <c r="C728">
        <v>1120.9499510000001</v>
      </c>
      <c r="D728">
        <v>1010.909973</v>
      </c>
      <c r="E728">
        <v>1101.599976</v>
      </c>
      <c r="F728">
        <v>1101.599976</v>
      </c>
      <c r="G728">
        <v>94778110000</v>
      </c>
      <c r="H728" s="93">
        <f t="shared" si="38"/>
        <v>0.94831226849323913</v>
      </c>
      <c r="I728">
        <f t="shared" si="40"/>
        <v>1.1197627855190595</v>
      </c>
      <c r="J728">
        <f t="shared" si="39"/>
        <v>4.9242578532183501E-2</v>
      </c>
      <c r="K728" s="91">
        <v>40360</v>
      </c>
      <c r="Q728">
        <v>4181978.4203125662</v>
      </c>
    </row>
    <row r="729" spans="1:17">
      <c r="A729" s="91">
        <v>40391</v>
      </c>
      <c r="B729">
        <v>1107.530029</v>
      </c>
      <c r="C729">
        <v>1129.23999</v>
      </c>
      <c r="D729">
        <v>1039.6999510000001</v>
      </c>
      <c r="E729">
        <v>1049.329956</v>
      </c>
      <c r="F729">
        <v>1049.329956</v>
      </c>
      <c r="G729">
        <v>85738250000</v>
      </c>
      <c r="H729" s="93">
        <f t="shared" si="38"/>
        <v>1.0741247742983169</v>
      </c>
      <c r="I729">
        <f t="shared" si="40"/>
        <v>1.1184686851766192</v>
      </c>
      <c r="J729">
        <f t="shared" si="39"/>
        <v>4.9095045796067154E-2</v>
      </c>
      <c r="K729" s="91">
        <v>40391</v>
      </c>
      <c r="Q729">
        <v>6029362.0841715196</v>
      </c>
    </row>
    <row r="730" spans="1:17">
      <c r="A730" s="91">
        <v>40422</v>
      </c>
      <c r="B730">
        <v>1049.719971</v>
      </c>
      <c r="C730">
        <v>1157.160034</v>
      </c>
      <c r="D730">
        <v>1049.719971</v>
      </c>
      <c r="E730">
        <v>1141.1999510000001</v>
      </c>
      <c r="F730">
        <v>1141.1999510000001</v>
      </c>
      <c r="G730">
        <v>79589450000</v>
      </c>
      <c r="H730" s="93">
        <f t="shared" si="38"/>
        <v>0.94780271732027233</v>
      </c>
      <c r="I730">
        <f t="shared" si="40"/>
        <v>1.0296217341568241</v>
      </c>
      <c r="J730">
        <f t="shared" si="39"/>
        <v>5.18045878868061E-2</v>
      </c>
      <c r="K730" s="91">
        <v>40422</v>
      </c>
      <c r="Q730">
        <v>4965801.0017045764</v>
      </c>
    </row>
    <row r="731" spans="1:17">
      <c r="A731" s="91">
        <v>40452</v>
      </c>
      <c r="B731">
        <v>1143.48999</v>
      </c>
      <c r="C731">
        <v>1196.1400149999999</v>
      </c>
      <c r="D731">
        <v>1131.869995</v>
      </c>
      <c r="E731">
        <v>1183.26001</v>
      </c>
      <c r="F731">
        <v>1183.26001</v>
      </c>
      <c r="G731">
        <v>89536270000</v>
      </c>
      <c r="H731" s="93">
        <f t="shared" si="38"/>
        <v>1.0893286034280851</v>
      </c>
      <c r="I731">
        <f t="shared" si="40"/>
        <v>1.0839692041454221</v>
      </c>
      <c r="J731">
        <f t="shared" si="39"/>
        <v>5.6925539261304822E-2</v>
      </c>
      <c r="K731" s="91">
        <v>40452</v>
      </c>
      <c r="Q731">
        <v>959483.60823507933</v>
      </c>
    </row>
    <row r="732" spans="1:17">
      <c r="A732" s="91">
        <v>40483</v>
      </c>
      <c r="B732">
        <v>1185.709961</v>
      </c>
      <c r="C732">
        <v>1227.079956</v>
      </c>
      <c r="D732">
        <v>1173</v>
      </c>
      <c r="E732">
        <v>1180.5500489999999</v>
      </c>
      <c r="F732">
        <v>1180.5500489999999</v>
      </c>
      <c r="G732">
        <v>87151070000</v>
      </c>
      <c r="H732" s="93">
        <f t="shared" si="38"/>
        <v>1.0369220293743018</v>
      </c>
      <c r="I732">
        <f t="shared" si="40"/>
        <v>1.1443088065850764</v>
      </c>
      <c r="J732">
        <f t="shared" si="39"/>
        <v>5.6845198525981695E-2</v>
      </c>
      <c r="K732" s="91">
        <v>40483</v>
      </c>
      <c r="Q732">
        <v>1036219.0397668001</v>
      </c>
    </row>
    <row r="733" spans="1:17">
      <c r="A733" s="91">
        <v>40513</v>
      </c>
      <c r="B733">
        <v>1186.599976</v>
      </c>
      <c r="C733">
        <v>1262.599976</v>
      </c>
      <c r="D733">
        <v>1186.599976</v>
      </c>
      <c r="E733">
        <v>1257.6400149999999</v>
      </c>
      <c r="F733">
        <v>1257.6400149999999</v>
      </c>
      <c r="G733">
        <v>80984530000</v>
      </c>
      <c r="H733" s="93">
        <f t="shared" si="38"/>
        <v>1.0007506177980063</v>
      </c>
      <c r="I733">
        <f t="shared" si="40"/>
        <v>1.0798168695708825</v>
      </c>
      <c r="J733">
        <f t="shared" si="39"/>
        <v>5.4866071864742599E-2</v>
      </c>
      <c r="K733" s="91">
        <v>40513</v>
      </c>
      <c r="Q733">
        <v>3089152.7684350107</v>
      </c>
    </row>
    <row r="734" spans="1:17">
      <c r="A734" s="91">
        <v>40544</v>
      </c>
      <c r="B734">
        <v>1257.619995</v>
      </c>
      <c r="C734">
        <v>1302.670044</v>
      </c>
      <c r="D734">
        <v>1257.619995</v>
      </c>
      <c r="E734">
        <v>1286.119995</v>
      </c>
      <c r="F734">
        <v>1286.119995</v>
      </c>
      <c r="G734">
        <v>92164940000</v>
      </c>
      <c r="H734" s="93">
        <f t="shared" si="38"/>
        <v>1.0598516942831964</v>
      </c>
      <c r="I734">
        <f t="shared" si="40"/>
        <v>1.1263343918340896</v>
      </c>
      <c r="J734">
        <f t="shared" si="39"/>
        <v>5.6884470702991762E-2</v>
      </c>
      <c r="K734" s="91">
        <v>40544</v>
      </c>
      <c r="Q734">
        <v>3536910.0830509756</v>
      </c>
    </row>
    <row r="735" spans="1:17">
      <c r="A735" s="91">
        <v>40575</v>
      </c>
      <c r="B735">
        <v>1289.1400149999999</v>
      </c>
      <c r="C735">
        <v>1344.0699460000001</v>
      </c>
      <c r="D735">
        <v>1289.1400149999999</v>
      </c>
      <c r="E735">
        <v>1327.219971</v>
      </c>
      <c r="F735">
        <v>1327.219971</v>
      </c>
      <c r="G735">
        <v>59223660000</v>
      </c>
      <c r="H735" s="93">
        <f t="shared" si="38"/>
        <v>1.0250632306462335</v>
      </c>
      <c r="I735">
        <f t="shared" si="40"/>
        <v>1.2004395208013923</v>
      </c>
      <c r="J735">
        <f t="shared" si="39"/>
        <v>5.4755231708953495E-2</v>
      </c>
      <c r="K735" s="91">
        <v>40575</v>
      </c>
      <c r="Q735">
        <v>1689157.5069506478</v>
      </c>
    </row>
    <row r="736" spans="1:17">
      <c r="A736" s="91">
        <v>40603</v>
      </c>
      <c r="B736">
        <v>1328.6400149999999</v>
      </c>
      <c r="C736">
        <v>1332.280029</v>
      </c>
      <c r="D736">
        <v>1249.0500489999999</v>
      </c>
      <c r="E736">
        <v>1325.829956</v>
      </c>
      <c r="F736">
        <v>1325.829956</v>
      </c>
      <c r="G736">
        <v>89507640000</v>
      </c>
      <c r="H736" s="93">
        <f t="shared" si="38"/>
        <v>1.0306405817369653</v>
      </c>
      <c r="I736">
        <f t="shared" si="40"/>
        <v>1.2019975691448608</v>
      </c>
      <c r="J736">
        <f t="shared" si="39"/>
        <v>5.4784492341271709E-2</v>
      </c>
      <c r="K736" s="91">
        <v>40603</v>
      </c>
      <c r="Q736">
        <v>2563395.9986436795</v>
      </c>
    </row>
    <row r="737" spans="1:17">
      <c r="A737" s="91">
        <v>40634</v>
      </c>
      <c r="B737">
        <v>1329.4799800000001</v>
      </c>
      <c r="C737">
        <v>1364.5600589999999</v>
      </c>
      <c r="D737">
        <v>1294.6999510000001</v>
      </c>
      <c r="E737">
        <v>1363.6099850000001</v>
      </c>
      <c r="F737">
        <v>1363.6099850000001</v>
      </c>
      <c r="G737">
        <v>77364810000</v>
      </c>
      <c r="H737" s="93">
        <f t="shared" si="38"/>
        <v>1.0006321990836624</v>
      </c>
      <c r="I737">
        <f t="shared" si="40"/>
        <v>1.1351143692547898</v>
      </c>
      <c r="J737">
        <f t="shared" si="39"/>
        <v>5.3222681639688955E-2</v>
      </c>
      <c r="K737" s="91">
        <v>40634</v>
      </c>
      <c r="Q737">
        <v>4541038.1294484595</v>
      </c>
    </row>
    <row r="738" spans="1:17">
      <c r="A738" s="91">
        <v>40664</v>
      </c>
      <c r="B738">
        <v>1365.209961</v>
      </c>
      <c r="C738">
        <v>1370.579956</v>
      </c>
      <c r="D738">
        <v>1311.8000489999999</v>
      </c>
      <c r="E738">
        <v>1345.1999510000001</v>
      </c>
      <c r="F738">
        <v>1345.1999510000001</v>
      </c>
      <c r="G738">
        <v>81708980000</v>
      </c>
      <c r="H738" s="93">
        <f t="shared" si="38"/>
        <v>1.0268751553520949</v>
      </c>
      <c r="I738">
        <f t="shared" si="40"/>
        <v>1.1486059091846237</v>
      </c>
      <c r="J738">
        <f t="shared" si="39"/>
        <v>5.3395922980024615E-2</v>
      </c>
      <c r="K738" s="91">
        <v>40664</v>
      </c>
      <c r="Q738">
        <v>4894222.0446514711</v>
      </c>
    </row>
    <row r="739" spans="1:17">
      <c r="A739" s="91">
        <v>40695</v>
      </c>
      <c r="B739">
        <v>1345.1999510000001</v>
      </c>
      <c r="C739">
        <v>1345.1999510000001</v>
      </c>
      <c r="D739">
        <v>1258.0699460000001</v>
      </c>
      <c r="E739">
        <v>1320.6400149999999</v>
      </c>
      <c r="F739">
        <v>1320.6400149999999</v>
      </c>
      <c r="G739">
        <v>86122730000</v>
      </c>
      <c r="H739" s="93">
        <f t="shared" si="38"/>
        <v>0.98534290653333434</v>
      </c>
      <c r="I739">
        <f t="shared" si="40"/>
        <v>1.2371929461763504</v>
      </c>
      <c r="J739">
        <f t="shared" si="39"/>
        <v>4.4800324899966111E-2</v>
      </c>
      <c r="K739" s="91">
        <v>40695</v>
      </c>
      <c r="Q739">
        <v>2497008.5783524299</v>
      </c>
    </row>
    <row r="740" spans="1:17">
      <c r="A740" s="91">
        <v>40725</v>
      </c>
      <c r="B740">
        <v>1320.6400149999999</v>
      </c>
      <c r="C740">
        <v>1356.4799800000001</v>
      </c>
      <c r="D740">
        <v>1282.8599850000001</v>
      </c>
      <c r="E740">
        <v>1292.280029</v>
      </c>
      <c r="F740">
        <v>1292.280029</v>
      </c>
      <c r="G740">
        <v>81102170000</v>
      </c>
      <c r="H740" s="93">
        <f t="shared" si="38"/>
        <v>0.98174253873430295</v>
      </c>
      <c r="I740">
        <f t="shared" si="40"/>
        <v>1.2808069496066015</v>
      </c>
      <c r="J740">
        <f t="shared" si="39"/>
        <v>4.0886875884519461E-2</v>
      </c>
      <c r="K740" s="91">
        <v>40725</v>
      </c>
      <c r="Q740">
        <v>1401190.2393718145</v>
      </c>
    </row>
    <row r="741" spans="1:17">
      <c r="A741" s="91">
        <v>40756</v>
      </c>
      <c r="B741">
        <v>1292.589966</v>
      </c>
      <c r="C741">
        <v>1307.380005</v>
      </c>
      <c r="D741">
        <v>1101.540039</v>
      </c>
      <c r="E741">
        <v>1218.8900149999999</v>
      </c>
      <c r="F741">
        <v>1218.8900149999999</v>
      </c>
      <c r="G741" s="92">
        <v>108419000000</v>
      </c>
      <c r="H741" s="93">
        <f t="shared" si="38"/>
        <v>0.97876026117533632</v>
      </c>
      <c r="I741">
        <f t="shared" si="40"/>
        <v>1.1670924779954657</v>
      </c>
      <c r="J741">
        <f t="shared" si="39"/>
        <v>3.8970471407779136E-2</v>
      </c>
      <c r="K741" s="91">
        <v>40756</v>
      </c>
      <c r="Q741">
        <v>1722471.3104202801</v>
      </c>
    </row>
    <row r="742" spans="1:17">
      <c r="A742" s="91">
        <v>40787</v>
      </c>
      <c r="B742">
        <v>1219.119995</v>
      </c>
      <c r="C742">
        <v>1229.290039</v>
      </c>
      <c r="D742">
        <v>1114.219971</v>
      </c>
      <c r="E742">
        <v>1131.420044</v>
      </c>
      <c r="F742">
        <v>1131.420044</v>
      </c>
      <c r="G742" s="92">
        <v>102787000000</v>
      </c>
      <c r="H742" s="93">
        <f t="shared" si="38"/>
        <v>0.94316065192169374</v>
      </c>
      <c r="I742">
        <f t="shared" si="40"/>
        <v>1.1613763943526993</v>
      </c>
      <c r="J742">
        <f t="shared" si="39"/>
        <v>3.9699661339421266E-2</v>
      </c>
      <c r="K742" s="91">
        <v>40787</v>
      </c>
      <c r="Q742">
        <v>2694506.8716127267</v>
      </c>
    </row>
    <row r="743" spans="1:17">
      <c r="A743" s="91">
        <v>40817</v>
      </c>
      <c r="B743">
        <v>1131.209961</v>
      </c>
      <c r="C743">
        <v>1292.660034</v>
      </c>
      <c r="D743">
        <v>1074.7700199999999</v>
      </c>
      <c r="E743">
        <v>1253.3000489999999</v>
      </c>
      <c r="F743">
        <v>1253.3000489999999</v>
      </c>
      <c r="G743">
        <v>98063670000</v>
      </c>
      <c r="H743" s="93">
        <f t="shared" si="38"/>
        <v>0.92789058143534098</v>
      </c>
      <c r="I743">
        <f t="shared" si="40"/>
        <v>0.98926092129586551</v>
      </c>
      <c r="J743">
        <f t="shared" si="39"/>
        <v>3.8923017065788428E-2</v>
      </c>
      <c r="K743" s="91">
        <v>40817</v>
      </c>
      <c r="Q743">
        <v>4671167.4129527844</v>
      </c>
    </row>
    <row r="744" spans="1:17">
      <c r="A744" s="91">
        <v>40848</v>
      </c>
      <c r="B744">
        <v>1251</v>
      </c>
      <c r="C744">
        <v>1277.5500489999999</v>
      </c>
      <c r="D744">
        <v>1158.660034</v>
      </c>
      <c r="E744">
        <v>1246.959961</v>
      </c>
      <c r="F744">
        <v>1246.959961</v>
      </c>
      <c r="G744">
        <v>84275050000</v>
      </c>
      <c r="H744" s="93">
        <f t="shared" si="38"/>
        <v>1.1058954952041833</v>
      </c>
      <c r="I744">
        <f t="shared" si="40"/>
        <v>1.0550640891512253</v>
      </c>
      <c r="J744">
        <f t="shared" si="39"/>
        <v>4.8753932191269382E-2</v>
      </c>
      <c r="K744" s="91">
        <v>40848</v>
      </c>
      <c r="Q744">
        <v>1669616.8911662728</v>
      </c>
    </row>
    <row r="745" spans="1:17">
      <c r="A745" s="91">
        <v>40878</v>
      </c>
      <c r="B745">
        <v>1246.910034</v>
      </c>
      <c r="C745">
        <v>1269.369995</v>
      </c>
      <c r="D745">
        <v>1202.369995</v>
      </c>
      <c r="E745">
        <v>1257.599976</v>
      </c>
      <c r="F745">
        <v>1257.599976</v>
      </c>
      <c r="G745">
        <v>74742430000</v>
      </c>
      <c r="H745" s="93">
        <f t="shared" si="38"/>
        <v>0.99673064268585132</v>
      </c>
      <c r="I745">
        <f t="shared" si="40"/>
        <v>1.0508259390020416</v>
      </c>
      <c r="J745">
        <f t="shared" si="39"/>
        <v>4.8803696970711914E-2</v>
      </c>
      <c r="K745" s="91">
        <v>40878</v>
      </c>
      <c r="Q745">
        <v>1679783.3066930831</v>
      </c>
    </row>
    <row r="746" spans="1:17">
      <c r="A746" s="91">
        <v>40909</v>
      </c>
      <c r="B746">
        <v>1258.8599850000001</v>
      </c>
      <c r="C746">
        <v>1333.469971</v>
      </c>
      <c r="D746">
        <v>1258.8599850000001</v>
      </c>
      <c r="E746">
        <v>1312.410034</v>
      </c>
      <c r="F746">
        <v>1312.410034</v>
      </c>
      <c r="G746">
        <v>79567560000</v>
      </c>
      <c r="H746" s="93">
        <f t="shared" si="38"/>
        <v>1.0095836513254011</v>
      </c>
      <c r="I746">
        <f t="shared" si="40"/>
        <v>1.0009859814609579</v>
      </c>
      <c r="J746">
        <f t="shared" si="39"/>
        <v>4.5749518341876128E-2</v>
      </c>
      <c r="K746" s="91">
        <v>40909</v>
      </c>
      <c r="Q746">
        <v>2747647.1701323953</v>
      </c>
    </row>
    <row r="747" spans="1:17">
      <c r="A747" s="91">
        <v>40940</v>
      </c>
      <c r="B747">
        <v>1312.4499510000001</v>
      </c>
      <c r="C747">
        <v>1378.040039</v>
      </c>
      <c r="D747">
        <v>1312.4499510000001</v>
      </c>
      <c r="E747">
        <v>1365.6800539999999</v>
      </c>
      <c r="F747">
        <v>1365.6800539999999</v>
      </c>
      <c r="G747">
        <v>78385710000</v>
      </c>
      <c r="H747" s="93">
        <f t="shared" si="38"/>
        <v>1.0425702354817481</v>
      </c>
      <c r="I747">
        <f t="shared" si="40"/>
        <v>1.0180817721339603</v>
      </c>
      <c r="J747">
        <f t="shared" si="39"/>
        <v>4.6851583156537584E-2</v>
      </c>
      <c r="K747" s="91">
        <v>40940</v>
      </c>
      <c r="Q747">
        <v>4034306.5162649946</v>
      </c>
    </row>
    <row r="748" spans="1:17">
      <c r="A748" s="91">
        <v>40969</v>
      </c>
      <c r="B748">
        <v>1365.900024</v>
      </c>
      <c r="C748">
        <v>1419.150024</v>
      </c>
      <c r="D748">
        <v>1340.030029</v>
      </c>
      <c r="E748">
        <v>1408.469971</v>
      </c>
      <c r="F748">
        <v>1408.469971</v>
      </c>
      <c r="G748">
        <v>83899660000</v>
      </c>
      <c r="H748" s="93">
        <f t="shared" si="38"/>
        <v>1.0407254181077721</v>
      </c>
      <c r="I748">
        <f t="shared" si="40"/>
        <v>1.0280437203300701</v>
      </c>
      <c r="J748">
        <f t="shared" si="39"/>
        <v>4.7488647942042619E-2</v>
      </c>
      <c r="K748" s="91">
        <v>40969</v>
      </c>
      <c r="Q748">
        <v>5545133.1040510023</v>
      </c>
    </row>
    <row r="749" spans="1:17">
      <c r="A749" s="91">
        <v>41000</v>
      </c>
      <c r="B749">
        <v>1408.469971</v>
      </c>
      <c r="C749">
        <v>1422.380005</v>
      </c>
      <c r="D749">
        <v>1357.380005</v>
      </c>
      <c r="E749">
        <v>1397.910034</v>
      </c>
      <c r="F749">
        <v>1397.910034</v>
      </c>
      <c r="G749">
        <v>74761710000</v>
      </c>
      <c r="H749" s="93">
        <f t="shared" si="38"/>
        <v>1.0311662246518856</v>
      </c>
      <c r="I749">
        <f t="shared" si="40"/>
        <v>1.0594142011826309</v>
      </c>
      <c r="J749">
        <f t="shared" si="39"/>
        <v>4.8144694492350315E-2</v>
      </c>
      <c r="K749" s="91">
        <v>41000</v>
      </c>
      <c r="Q749">
        <v>4047332.1657085777</v>
      </c>
    </row>
    <row r="750" spans="1:17">
      <c r="A750" s="91">
        <v>41030</v>
      </c>
      <c r="B750">
        <v>1397.8599850000001</v>
      </c>
      <c r="C750">
        <v>1415.3199460000001</v>
      </c>
      <c r="D750">
        <v>1291.9799800000001</v>
      </c>
      <c r="E750">
        <v>1310.329956</v>
      </c>
      <c r="F750">
        <v>1310.329956</v>
      </c>
      <c r="G750">
        <v>86920490000</v>
      </c>
      <c r="H750" s="93">
        <f t="shared" si="38"/>
        <v>0.99246701298681794</v>
      </c>
      <c r="I750">
        <f t="shared" si="40"/>
        <v>1.0239157528385483</v>
      </c>
      <c r="J750">
        <f t="shared" si="39"/>
        <v>4.7803397321770913E-2</v>
      </c>
      <c r="K750" s="91">
        <v>41030</v>
      </c>
      <c r="Q750">
        <v>4279453.5459349621</v>
      </c>
    </row>
    <row r="751" spans="1:17">
      <c r="A751" s="91">
        <v>41061</v>
      </c>
      <c r="B751">
        <v>1309.869995</v>
      </c>
      <c r="C751">
        <v>1363.459961</v>
      </c>
      <c r="D751">
        <v>1266.73999</v>
      </c>
      <c r="E751">
        <v>1362.160034</v>
      </c>
      <c r="F751">
        <v>1362.160034</v>
      </c>
      <c r="G751">
        <v>81582440000</v>
      </c>
      <c r="H751" s="93">
        <f t="shared" si="38"/>
        <v>0.93705378868828548</v>
      </c>
      <c r="I751">
        <f t="shared" si="40"/>
        <v>0.97373627915036998</v>
      </c>
      <c r="J751">
        <f t="shared" si="39"/>
        <v>5.1327743124719459E-2</v>
      </c>
      <c r="K751" s="91">
        <v>41061</v>
      </c>
      <c r="Q751">
        <v>10242153.649601612</v>
      </c>
    </row>
    <row r="752" spans="1:17">
      <c r="A752" s="91">
        <v>41091</v>
      </c>
      <c r="B752">
        <v>1362.329956</v>
      </c>
      <c r="C752">
        <v>1391.73999</v>
      </c>
      <c r="D752">
        <v>1325.410034</v>
      </c>
      <c r="E752">
        <v>1379.3199460000001</v>
      </c>
      <c r="F752">
        <v>1379.3199460000001</v>
      </c>
      <c r="G752">
        <v>73103810000</v>
      </c>
      <c r="H752" s="93">
        <f t="shared" si="38"/>
        <v>1.0400497463108924</v>
      </c>
      <c r="I752">
        <f t="shared" si="40"/>
        <v>1.0315679825891086</v>
      </c>
      <c r="J752">
        <f t="shared" si="39"/>
        <v>5.2298377903603775E-2</v>
      </c>
      <c r="K752" s="91">
        <v>41091</v>
      </c>
      <c r="Q752">
        <v>2638795.8590418356</v>
      </c>
    </row>
    <row r="753" spans="1:17">
      <c r="A753" s="91">
        <v>41122</v>
      </c>
      <c r="B753">
        <v>1379.3199460000001</v>
      </c>
      <c r="C753">
        <v>1426.6800539999999</v>
      </c>
      <c r="D753">
        <v>1354.650024</v>
      </c>
      <c r="E753">
        <v>1406.579956</v>
      </c>
      <c r="F753">
        <v>1406.579956</v>
      </c>
      <c r="G753">
        <v>70283810000</v>
      </c>
      <c r="H753" s="93">
        <f t="shared" si="38"/>
        <v>1.0124712738827861</v>
      </c>
      <c r="I753">
        <f t="shared" si="40"/>
        <v>1.0670978286087052</v>
      </c>
      <c r="J753">
        <f t="shared" si="39"/>
        <v>5.1731188277452073E-2</v>
      </c>
      <c r="K753" s="91">
        <v>41122</v>
      </c>
      <c r="Q753">
        <v>2206556.0607931199</v>
      </c>
    </row>
    <row r="754" spans="1:17">
      <c r="A754" s="91">
        <v>41153</v>
      </c>
      <c r="B754">
        <v>1406.540039</v>
      </c>
      <c r="C754">
        <v>1474.51001</v>
      </c>
      <c r="D754">
        <v>1396.5600589999999</v>
      </c>
      <c r="E754">
        <v>1440.670044</v>
      </c>
      <c r="F754">
        <v>1440.670044</v>
      </c>
      <c r="G754">
        <v>69784280000</v>
      </c>
      <c r="H754" s="93">
        <f t="shared" si="38"/>
        <v>1.0197344300565925</v>
      </c>
      <c r="I754">
        <f t="shared" si="40"/>
        <v>1.153733877525321</v>
      </c>
      <c r="J754">
        <f t="shared" si="39"/>
        <v>4.7758293741243775E-2</v>
      </c>
      <c r="K754" s="91">
        <v>41153</v>
      </c>
      <c r="Q754">
        <v>608015.72310881445</v>
      </c>
    </row>
    <row r="755" spans="1:17">
      <c r="A755" s="91">
        <v>41183</v>
      </c>
      <c r="B755">
        <v>1440.900024</v>
      </c>
      <c r="C755">
        <v>1470.959961</v>
      </c>
      <c r="D755">
        <v>1403.280029</v>
      </c>
      <c r="E755">
        <v>1412.160034</v>
      </c>
      <c r="F755">
        <v>1412.160034</v>
      </c>
      <c r="G755">
        <v>71752320000</v>
      </c>
      <c r="H755" s="93">
        <f t="shared" si="38"/>
        <v>1.0244287286869052</v>
      </c>
      <c r="I755">
        <f t="shared" si="40"/>
        <v>1.2737688613758591</v>
      </c>
      <c r="J755">
        <f t="shared" si="39"/>
        <v>3.9536315503616602E-2</v>
      </c>
      <c r="K755" s="91">
        <v>41183</v>
      </c>
      <c r="Q755">
        <v>4518333.3536743624</v>
      </c>
    </row>
    <row r="756" spans="1:17">
      <c r="A756" s="91">
        <v>41214</v>
      </c>
      <c r="B756">
        <v>1412.1999510000001</v>
      </c>
      <c r="C756">
        <v>1434.2700199999999</v>
      </c>
      <c r="D756">
        <v>1343.349976</v>
      </c>
      <c r="E756">
        <v>1416.1800539999999</v>
      </c>
      <c r="F756">
        <v>1416.1800539999999</v>
      </c>
      <c r="G756">
        <v>71489310000</v>
      </c>
      <c r="H756" s="93">
        <f t="shared" si="38"/>
        <v>0.980081842930138</v>
      </c>
      <c r="I756">
        <f t="shared" si="40"/>
        <v>1.1288568752997603</v>
      </c>
      <c r="J756">
        <f t="shared" si="39"/>
        <v>3.0690042718442924E-2</v>
      </c>
      <c r="K756" s="91">
        <v>41214</v>
      </c>
      <c r="Q756">
        <v>1446205.2817823475</v>
      </c>
    </row>
    <row r="757" spans="1:17">
      <c r="A757" s="91">
        <v>41244</v>
      </c>
      <c r="B757">
        <v>1416.339966</v>
      </c>
      <c r="C757">
        <v>1448</v>
      </c>
      <c r="D757">
        <v>1398.1099850000001</v>
      </c>
      <c r="E757">
        <v>1426.1899410000001</v>
      </c>
      <c r="F757">
        <v>1426.1899410000001</v>
      </c>
      <c r="G757">
        <v>66388180000</v>
      </c>
      <c r="H757" s="93">
        <f t="shared" si="38"/>
        <v>1.0029316068146499</v>
      </c>
      <c r="I757">
        <f t="shared" si="40"/>
        <v>1.1358798368607883</v>
      </c>
      <c r="J757">
        <f t="shared" si="39"/>
        <v>3.0487029116338892E-2</v>
      </c>
      <c r="K757" s="91">
        <v>41244</v>
      </c>
      <c r="Q757">
        <v>4549554.3317208569</v>
      </c>
    </row>
    <row r="758" spans="1:17">
      <c r="A758" s="91">
        <v>41275</v>
      </c>
      <c r="B758">
        <v>1426.1899410000001</v>
      </c>
      <c r="C758">
        <v>1509.9399410000001</v>
      </c>
      <c r="D758">
        <v>1426.1899410000001</v>
      </c>
      <c r="E758">
        <v>1498.1099850000001</v>
      </c>
      <c r="F758">
        <v>1498.1099850000001</v>
      </c>
      <c r="G758">
        <v>75848510000</v>
      </c>
      <c r="H758" s="93">
        <f t="shared" si="38"/>
        <v>1.0069545273285045</v>
      </c>
      <c r="I758">
        <f t="shared" si="40"/>
        <v>1.1329218165592896</v>
      </c>
      <c r="J758">
        <f t="shared" si="39"/>
        <v>3.0508398277620561E-2</v>
      </c>
      <c r="K758" s="91">
        <v>41275</v>
      </c>
      <c r="Q758">
        <v>16835237.625114985</v>
      </c>
    </row>
    <row r="759" spans="1:17">
      <c r="A759" s="91">
        <v>41306</v>
      </c>
      <c r="B759">
        <v>1498.1099850000001</v>
      </c>
      <c r="C759">
        <v>1530.9399410000001</v>
      </c>
      <c r="D759">
        <v>1485.01001</v>
      </c>
      <c r="E759">
        <v>1514.6800539999999</v>
      </c>
      <c r="F759">
        <v>1514.6800539999999</v>
      </c>
      <c r="G759">
        <v>69273480000</v>
      </c>
      <c r="H759" s="93">
        <f t="shared" si="38"/>
        <v>1.0504280965195785</v>
      </c>
      <c r="I759">
        <f t="shared" si="40"/>
        <v>1.1414606582586553</v>
      </c>
      <c r="J759">
        <f t="shared" si="39"/>
        <v>3.1323710779291539E-2</v>
      </c>
      <c r="K759" s="91">
        <v>41306</v>
      </c>
      <c r="Q759">
        <v>1529840.6025422309</v>
      </c>
    </row>
    <row r="760" spans="1:17">
      <c r="A760" s="91">
        <v>41334</v>
      </c>
      <c r="B760">
        <v>1514.6800539999999</v>
      </c>
      <c r="C760">
        <v>1570.280029</v>
      </c>
      <c r="D760">
        <v>1501.4799800000001</v>
      </c>
      <c r="E760">
        <v>1569.1899410000001</v>
      </c>
      <c r="F760">
        <v>1569.1899410000001</v>
      </c>
      <c r="G760">
        <v>68527110000</v>
      </c>
      <c r="H760" s="93">
        <f t="shared" si="38"/>
        <v>1.0110606491952592</v>
      </c>
      <c r="I760">
        <f t="shared" si="40"/>
        <v>1.1089245386820492</v>
      </c>
      <c r="J760">
        <f t="shared" si="39"/>
        <v>2.995161877514638E-2</v>
      </c>
      <c r="K760" s="91">
        <v>41334</v>
      </c>
      <c r="Q760">
        <v>3593069.8752611727</v>
      </c>
    </row>
    <row r="761" spans="1:17">
      <c r="A761" s="91">
        <v>41365</v>
      </c>
      <c r="B761">
        <v>1569.1800539999999</v>
      </c>
      <c r="C761">
        <v>1597.5699460000001</v>
      </c>
      <c r="D761">
        <v>1536.030029</v>
      </c>
      <c r="E761">
        <v>1597.5699460000001</v>
      </c>
      <c r="F761">
        <v>1597.5699460000001</v>
      </c>
      <c r="G761">
        <v>77098000000</v>
      </c>
      <c r="H761" s="93">
        <f t="shared" si="38"/>
        <v>1.0359811960658458</v>
      </c>
      <c r="I761">
        <f t="shared" si="40"/>
        <v>1.1141025980737789</v>
      </c>
      <c r="J761">
        <f t="shared" si="39"/>
        <v>3.0304726846224771E-2</v>
      </c>
      <c r="K761" s="91">
        <v>41365</v>
      </c>
      <c r="Q761">
        <v>4208548.7017638274</v>
      </c>
    </row>
    <row r="762" spans="1:17">
      <c r="A762" s="91">
        <v>41395</v>
      </c>
      <c r="B762">
        <v>1597.5500489999999</v>
      </c>
      <c r="C762">
        <v>1687.1800539999999</v>
      </c>
      <c r="D762">
        <v>1581.280029</v>
      </c>
      <c r="E762">
        <v>1630.73999</v>
      </c>
      <c r="F762">
        <v>1630.73999</v>
      </c>
      <c r="G762">
        <v>76447250000</v>
      </c>
      <c r="H762" s="93">
        <f t="shared" si="38"/>
        <v>1.0180795026852922</v>
      </c>
      <c r="I762">
        <f t="shared" si="40"/>
        <v>1.1428541242633825</v>
      </c>
      <c r="J762">
        <f t="shared" si="39"/>
        <v>2.9897528200931448E-2</v>
      </c>
      <c r="K762" s="91">
        <v>41395</v>
      </c>
      <c r="Q762">
        <v>8309682.793428638</v>
      </c>
    </row>
    <row r="763" spans="1:17">
      <c r="A763" s="91">
        <v>41426</v>
      </c>
      <c r="B763">
        <v>1631.709961</v>
      </c>
      <c r="C763">
        <v>1654.1899410000001</v>
      </c>
      <c r="D763">
        <v>1560.329956</v>
      </c>
      <c r="E763">
        <v>1606.280029</v>
      </c>
      <c r="F763">
        <v>1606.280029</v>
      </c>
      <c r="G763">
        <v>74946790000</v>
      </c>
      <c r="H763" s="93">
        <f t="shared" si="38"/>
        <v>1.021382686583987</v>
      </c>
      <c r="I763">
        <f t="shared" si="40"/>
        <v>1.245703747111178</v>
      </c>
      <c r="J763">
        <f t="shared" si="39"/>
        <v>1.8531681433030633E-2</v>
      </c>
      <c r="K763" s="91">
        <v>41426</v>
      </c>
      <c r="Q763">
        <v>5602106.6514917696</v>
      </c>
    </row>
    <row r="764" spans="1:17">
      <c r="A764" s="91">
        <v>41456</v>
      </c>
      <c r="B764">
        <v>1609.780029</v>
      </c>
      <c r="C764">
        <v>1698.780029</v>
      </c>
      <c r="D764">
        <v>1604.5699460000001</v>
      </c>
      <c r="E764">
        <v>1685.7299800000001</v>
      </c>
      <c r="F764">
        <v>1685.7299800000001</v>
      </c>
      <c r="G764">
        <v>68106820000</v>
      </c>
      <c r="H764" s="93">
        <f t="shared" si="38"/>
        <v>0.98656015313741163</v>
      </c>
      <c r="I764">
        <f t="shared" si="40"/>
        <v>1.1816374013580011</v>
      </c>
      <c r="J764">
        <f t="shared" si="39"/>
        <v>1.9327590733544002E-2</v>
      </c>
      <c r="K764" s="91">
        <v>41456</v>
      </c>
      <c r="Q764">
        <v>2222753.6265858756</v>
      </c>
    </row>
    <row r="765" spans="1:17">
      <c r="A765" s="91">
        <v>41487</v>
      </c>
      <c r="B765">
        <v>1689.420044</v>
      </c>
      <c r="C765">
        <v>1709.670044</v>
      </c>
      <c r="D765">
        <v>1627.469971</v>
      </c>
      <c r="E765">
        <v>1632.969971</v>
      </c>
      <c r="F765">
        <v>1632.969971</v>
      </c>
      <c r="G765">
        <v>64802810000</v>
      </c>
      <c r="H765" s="93">
        <f t="shared" si="38"/>
        <v>1.0494726071670006</v>
      </c>
      <c r="I765">
        <f t="shared" si="40"/>
        <v>1.2248210061046996</v>
      </c>
      <c r="J765">
        <f t="shared" si="39"/>
        <v>2.1821742608190586E-2</v>
      </c>
      <c r="K765" s="91">
        <v>41487</v>
      </c>
      <c r="Q765">
        <v>1739612.8217246677</v>
      </c>
    </row>
    <row r="766" spans="1:17">
      <c r="A766" s="91">
        <v>41518</v>
      </c>
      <c r="B766">
        <v>1635.9499510000001</v>
      </c>
      <c r="C766">
        <v>1729.8599850000001</v>
      </c>
      <c r="D766">
        <v>1633.410034</v>
      </c>
      <c r="E766">
        <v>1681.5500489999999</v>
      </c>
      <c r="F766">
        <v>1681.5500489999999</v>
      </c>
      <c r="G766">
        <v>66174410000</v>
      </c>
      <c r="H766" s="93">
        <f t="shared" si="38"/>
        <v>0.9683500304202618</v>
      </c>
      <c r="I766">
        <f t="shared" si="40"/>
        <v>1.1631022975805954</v>
      </c>
      <c r="J766">
        <f t="shared" si="39"/>
        <v>2.5943820879009725E-2</v>
      </c>
      <c r="K766" s="91">
        <v>41518</v>
      </c>
      <c r="Q766">
        <v>9163341.3465831913</v>
      </c>
    </row>
    <row r="767" spans="1:17">
      <c r="A767" s="91">
        <v>41548</v>
      </c>
      <c r="B767">
        <v>1682.410034</v>
      </c>
      <c r="C767">
        <v>1775.219971</v>
      </c>
      <c r="D767">
        <v>1646.469971</v>
      </c>
      <c r="E767">
        <v>1756.540039</v>
      </c>
      <c r="F767">
        <v>1756.540039</v>
      </c>
      <c r="G767">
        <v>76647400000</v>
      </c>
      <c r="H767" s="93">
        <f t="shared" si="38"/>
        <v>1.0283994525453548</v>
      </c>
      <c r="I767">
        <f t="shared" si="40"/>
        <v>1.1676105253503695</v>
      </c>
      <c r="J767">
        <f t="shared" si="39"/>
        <v>2.6127840451116886E-2</v>
      </c>
      <c r="K767" s="91">
        <v>41548</v>
      </c>
      <c r="Q767">
        <v>6555865.4469808312</v>
      </c>
    </row>
    <row r="768" spans="1:17">
      <c r="A768" s="91">
        <v>41579</v>
      </c>
      <c r="B768">
        <v>1758.6999510000001</v>
      </c>
      <c r="C768">
        <v>1813.5500489999999</v>
      </c>
      <c r="D768">
        <v>1746.1999510000001</v>
      </c>
      <c r="E768">
        <v>1805.8100589999999</v>
      </c>
      <c r="F768">
        <v>1805.8100589999999</v>
      </c>
      <c r="G768">
        <v>63628190000</v>
      </c>
      <c r="H768" s="93">
        <f t="shared" si="38"/>
        <v>1.0453456145994431</v>
      </c>
      <c r="I768">
        <f t="shared" si="40"/>
        <v>1.2453618552773906</v>
      </c>
      <c r="J768">
        <f t="shared" si="39"/>
        <v>2.5364501949910793E-2</v>
      </c>
      <c r="K768" s="91">
        <v>41579</v>
      </c>
      <c r="Q768">
        <v>9463226.0827498268</v>
      </c>
    </row>
    <row r="769" spans="1:17">
      <c r="A769" s="91">
        <v>41609</v>
      </c>
      <c r="B769">
        <v>1806.5500489999999</v>
      </c>
      <c r="C769">
        <v>1849.4399410000001</v>
      </c>
      <c r="D769">
        <v>1767.98999</v>
      </c>
      <c r="E769">
        <v>1848.3599850000001</v>
      </c>
      <c r="F769">
        <v>1848.3599850000001</v>
      </c>
      <c r="G769">
        <v>64958820000</v>
      </c>
      <c r="H769" s="93">
        <f t="shared" si="38"/>
        <v>1.0272076530011798</v>
      </c>
      <c r="I769">
        <f t="shared" si="40"/>
        <v>1.2755059465715874</v>
      </c>
      <c r="J769">
        <f t="shared" si="39"/>
        <v>2.4953329771963507E-2</v>
      </c>
      <c r="K769" s="91">
        <v>41609</v>
      </c>
      <c r="Q769">
        <v>838091.39644116</v>
      </c>
    </row>
    <row r="770" spans="1:17">
      <c r="A770" s="91">
        <v>41640</v>
      </c>
      <c r="B770">
        <v>1845.8599850000001</v>
      </c>
      <c r="C770">
        <v>1850.839966</v>
      </c>
      <c r="D770">
        <v>1770.4499510000001</v>
      </c>
      <c r="E770">
        <v>1782.589966</v>
      </c>
      <c r="F770">
        <v>1782.589966</v>
      </c>
      <c r="G770">
        <v>75871910000</v>
      </c>
      <c r="H770" s="93">
        <f t="shared" si="38"/>
        <v>1.0217596717133632</v>
      </c>
      <c r="I770">
        <f t="shared" si="40"/>
        <v>1.2942595736622153</v>
      </c>
      <c r="J770">
        <f t="shared" si="39"/>
        <v>2.4571316373403696E-2</v>
      </c>
      <c r="K770" s="91">
        <v>41640</v>
      </c>
      <c r="Q770">
        <v>2532836.4561745329</v>
      </c>
    </row>
    <row r="771" spans="1:17">
      <c r="A771" s="91">
        <v>41671</v>
      </c>
      <c r="B771">
        <v>1782.6800539999999</v>
      </c>
      <c r="C771">
        <v>1867.920044</v>
      </c>
      <c r="D771">
        <v>1737.920044</v>
      </c>
      <c r="E771">
        <v>1859.4499510000001</v>
      </c>
      <c r="F771">
        <v>1859.4499510000001</v>
      </c>
      <c r="G771">
        <v>69725590000</v>
      </c>
      <c r="H771" s="93">
        <f t="shared" si="38"/>
        <v>0.96577208915442192</v>
      </c>
      <c r="I771">
        <f t="shared" si="40"/>
        <v>1.1899527216621548</v>
      </c>
      <c r="J771">
        <f t="shared" si="39"/>
        <v>2.7630405139368E-2</v>
      </c>
      <c r="K771" s="91">
        <v>41671</v>
      </c>
      <c r="Q771">
        <v>3547338.6394276377</v>
      </c>
    </row>
    <row r="772" spans="1:17">
      <c r="A772" s="91">
        <v>41699</v>
      </c>
      <c r="B772">
        <v>1857.6800539999999</v>
      </c>
      <c r="C772">
        <v>1883.969971</v>
      </c>
      <c r="D772">
        <v>1834.4399410000001</v>
      </c>
      <c r="E772">
        <v>1872.339966</v>
      </c>
      <c r="F772">
        <v>1872.339966</v>
      </c>
      <c r="G772">
        <v>71885030000</v>
      </c>
      <c r="H772" s="93">
        <f t="shared" ref="H772:H823" si="41">B772/B771</f>
        <v>1.0420714865977851</v>
      </c>
      <c r="I772">
        <f t="shared" si="40"/>
        <v>1.2264504633134887</v>
      </c>
      <c r="J772">
        <f t="shared" si="39"/>
        <v>2.866465850900738E-2</v>
      </c>
      <c r="K772" s="91">
        <v>41699</v>
      </c>
      <c r="Q772">
        <v>617778.97663565585</v>
      </c>
    </row>
    <row r="773" spans="1:17">
      <c r="A773" s="91">
        <v>41730</v>
      </c>
      <c r="B773">
        <v>1873.959961</v>
      </c>
      <c r="C773">
        <v>1897.280029</v>
      </c>
      <c r="D773">
        <v>1814.3599850000001</v>
      </c>
      <c r="E773">
        <v>1883.9499510000001</v>
      </c>
      <c r="F773">
        <v>1883.9499510000001</v>
      </c>
      <c r="G773">
        <v>71595810000</v>
      </c>
      <c r="H773" s="93">
        <f t="shared" si="41"/>
        <v>1.008763568820662</v>
      </c>
      <c r="I773">
        <f t="shared" si="40"/>
        <v>1.1942287669430192</v>
      </c>
      <c r="J773">
        <f t="shared" si="39"/>
        <v>2.8144206543304191E-2</v>
      </c>
      <c r="K773" s="91">
        <v>41730</v>
      </c>
      <c r="Q773">
        <v>3154857.1755580865</v>
      </c>
    </row>
    <row r="774" spans="1:17">
      <c r="A774" s="91">
        <v>41760</v>
      </c>
      <c r="B774">
        <v>1884.3900149999999</v>
      </c>
      <c r="C774">
        <v>1924.030029</v>
      </c>
      <c r="D774">
        <v>1859.790039</v>
      </c>
      <c r="E774">
        <v>1923.5699460000001</v>
      </c>
      <c r="F774">
        <v>1923.5699460000001</v>
      </c>
      <c r="G774">
        <v>63623630000</v>
      </c>
      <c r="H774" s="93">
        <f t="shared" si="41"/>
        <v>1.0055657827365927</v>
      </c>
      <c r="I774">
        <f t="shared" si="40"/>
        <v>1.1795499090495161</v>
      </c>
      <c r="J774">
        <f t="shared" si="39"/>
        <v>2.826197517149107E-2</v>
      </c>
      <c r="K774" s="91">
        <v>41760</v>
      </c>
      <c r="Q774">
        <v>4874214.2930369908</v>
      </c>
    </row>
    <row r="775" spans="1:17">
      <c r="A775" s="91">
        <v>41791</v>
      </c>
      <c r="B775">
        <v>1923.869995</v>
      </c>
      <c r="C775">
        <v>1968.170044</v>
      </c>
      <c r="D775">
        <v>1915.9799800000001</v>
      </c>
      <c r="E775">
        <v>1960.2299800000001</v>
      </c>
      <c r="F775">
        <v>1960.2299800000001</v>
      </c>
      <c r="G775">
        <v>63283380000</v>
      </c>
      <c r="H775" s="93">
        <f t="shared" si="41"/>
        <v>1.0209510662260648</v>
      </c>
      <c r="I775">
        <f t="shared" si="40"/>
        <v>1.1790514496957221</v>
      </c>
      <c r="J775">
        <f t="shared" si="39"/>
        <v>2.8252304929233744E-2</v>
      </c>
      <c r="K775" s="91">
        <v>41791</v>
      </c>
      <c r="Q775">
        <v>5394872.978402717</v>
      </c>
    </row>
    <row r="776" spans="1:17">
      <c r="A776" s="91">
        <v>41821</v>
      </c>
      <c r="B776">
        <v>1962.290039</v>
      </c>
      <c r="C776">
        <v>1991.3900149999999</v>
      </c>
      <c r="D776">
        <v>1930.670044</v>
      </c>
      <c r="E776">
        <v>1930.670044</v>
      </c>
      <c r="F776">
        <v>1930.670044</v>
      </c>
      <c r="G776">
        <v>66524690000</v>
      </c>
      <c r="H776" s="93">
        <f t="shared" si="41"/>
        <v>1.0199701872267102</v>
      </c>
      <c r="I776">
        <f t="shared" si="40"/>
        <v>1.2189802355909336</v>
      </c>
      <c r="J776">
        <f t="shared" si="39"/>
        <v>2.6896166824757057E-2</v>
      </c>
      <c r="K776" s="91">
        <v>41821</v>
      </c>
      <c r="Q776">
        <v>10607675.844461083</v>
      </c>
    </row>
    <row r="777" spans="1:17">
      <c r="A777" s="91">
        <v>41852</v>
      </c>
      <c r="B777">
        <v>1929.8000489999999</v>
      </c>
      <c r="C777">
        <v>2005.040039</v>
      </c>
      <c r="D777">
        <v>1904.780029</v>
      </c>
      <c r="E777">
        <v>2003.369995</v>
      </c>
      <c r="F777">
        <v>2003.369995</v>
      </c>
      <c r="G777">
        <v>58131140000</v>
      </c>
      <c r="H777" s="93">
        <f t="shared" si="41"/>
        <v>0.98344281968808378</v>
      </c>
      <c r="I777">
        <f t="shared" si="40"/>
        <v>1.1422855173606548</v>
      </c>
      <c r="J777">
        <f t="shared" si="39"/>
        <v>2.6391540583461385E-2</v>
      </c>
      <c r="K777" s="91">
        <v>41852</v>
      </c>
      <c r="Q777">
        <v>3110737.7741243262</v>
      </c>
    </row>
    <row r="778" spans="1:17">
      <c r="A778" s="91">
        <v>41883</v>
      </c>
      <c r="B778">
        <v>2004.0699460000001</v>
      </c>
      <c r="C778">
        <v>2019.26001</v>
      </c>
      <c r="D778">
        <v>1964.040039</v>
      </c>
      <c r="E778">
        <v>1972.290039</v>
      </c>
      <c r="F778">
        <v>1972.290039</v>
      </c>
      <c r="G778">
        <v>66706000000</v>
      </c>
      <c r="H778" s="93">
        <f t="shared" si="41"/>
        <v>1.0384857991057084</v>
      </c>
      <c r="I778">
        <f t="shared" si="40"/>
        <v>1.2250191057342439</v>
      </c>
      <c r="J778">
        <f t="shared" si="39"/>
        <v>2.3592611834798639E-2</v>
      </c>
      <c r="K778" s="91">
        <v>41883</v>
      </c>
      <c r="Q778">
        <v>2649693.734764257</v>
      </c>
    </row>
    <row r="779" spans="1:17">
      <c r="A779" s="91">
        <v>41913</v>
      </c>
      <c r="B779">
        <v>1971.4399410000001</v>
      </c>
      <c r="C779">
        <v>2018.1899410000001</v>
      </c>
      <c r="D779">
        <v>1820.660034</v>
      </c>
      <c r="E779">
        <v>2018.0500489999999</v>
      </c>
      <c r="F779">
        <v>2018.0500489999999</v>
      </c>
      <c r="G779">
        <v>93714040000</v>
      </c>
      <c r="H779" s="93">
        <f t="shared" si="41"/>
        <v>0.98371813066448732</v>
      </c>
      <c r="I779">
        <f t="shared" si="40"/>
        <v>1.1717951635802002</v>
      </c>
      <c r="J779">
        <f t="shared" si="39"/>
        <v>2.5157516759281736E-2</v>
      </c>
      <c r="K779" s="91">
        <v>41913</v>
      </c>
      <c r="Q779">
        <v>3043157.6468431768</v>
      </c>
    </row>
    <row r="780" spans="1:17">
      <c r="A780" s="91">
        <v>41944</v>
      </c>
      <c r="B780">
        <v>2018.209961</v>
      </c>
      <c r="C780">
        <v>2075.76001</v>
      </c>
      <c r="D780">
        <v>2001.01001</v>
      </c>
      <c r="E780">
        <v>2067.5600589999999</v>
      </c>
      <c r="F780">
        <v>2067.5600589999999</v>
      </c>
      <c r="G780">
        <v>63600190000</v>
      </c>
      <c r="H780" s="93">
        <f t="shared" si="41"/>
        <v>1.0237237863692039</v>
      </c>
      <c r="I780">
        <f t="shared" si="40"/>
        <v>1.1475578650311795</v>
      </c>
      <c r="J780">
        <f t="shared" si="39"/>
        <v>2.3388281692768121E-2</v>
      </c>
      <c r="K780" s="91">
        <v>41944</v>
      </c>
      <c r="Q780">
        <v>5274447.4208294349</v>
      </c>
    </row>
    <row r="781" spans="1:17">
      <c r="A781" s="91">
        <v>41974</v>
      </c>
      <c r="B781">
        <v>2065.780029</v>
      </c>
      <c r="C781">
        <v>2093.5500489999999</v>
      </c>
      <c r="D781">
        <v>1972.5600589999999</v>
      </c>
      <c r="E781">
        <v>2058.8999020000001</v>
      </c>
      <c r="F781">
        <v>2058.8999020000001</v>
      </c>
      <c r="G781">
        <v>80743820000</v>
      </c>
      <c r="H781" s="93">
        <f t="shared" si="41"/>
        <v>1.0235704257333214</v>
      </c>
      <c r="I781">
        <f t="shared" si="40"/>
        <v>1.143494491139891</v>
      </c>
      <c r="J781">
        <f t="shared" si="39"/>
        <v>2.3193007974009913E-2</v>
      </c>
      <c r="K781" s="91">
        <v>41974</v>
      </c>
      <c r="Q781">
        <v>15727872.298211114</v>
      </c>
    </row>
    <row r="782" spans="1:17">
      <c r="A782" s="91">
        <v>42005</v>
      </c>
      <c r="B782">
        <v>2058.8999020000001</v>
      </c>
      <c r="C782">
        <v>2072.360107</v>
      </c>
      <c r="D782">
        <v>1988.119995</v>
      </c>
      <c r="E782">
        <v>1994.98999</v>
      </c>
      <c r="F782">
        <v>1994.98999</v>
      </c>
      <c r="G782">
        <v>77330040000</v>
      </c>
      <c r="H782" s="93">
        <f t="shared" si="41"/>
        <v>0.99666947743544099</v>
      </c>
      <c r="I782">
        <f t="shared" si="40"/>
        <v>1.1154149928657779</v>
      </c>
      <c r="J782">
        <f t="shared" si="39"/>
        <v>2.3312964588378705E-2</v>
      </c>
      <c r="K782" s="91">
        <v>42005</v>
      </c>
      <c r="Q782">
        <v>6619730.0010149162</v>
      </c>
    </row>
    <row r="783" spans="1:17">
      <c r="A783" s="91">
        <v>42036</v>
      </c>
      <c r="B783">
        <v>1996.670044</v>
      </c>
      <c r="C783">
        <v>2119.5900879999999</v>
      </c>
      <c r="D783">
        <v>1980.900024</v>
      </c>
      <c r="E783">
        <v>2104.5</v>
      </c>
      <c r="F783">
        <v>2104.5</v>
      </c>
      <c r="G783">
        <v>68775560000</v>
      </c>
      <c r="H783" s="93">
        <f t="shared" si="41"/>
        <v>0.96977519016852132</v>
      </c>
      <c r="I783">
        <f t="shared" si="40"/>
        <v>1.1200383599512693</v>
      </c>
      <c r="J783">
        <f t="shared" ref="J783:J823" si="42">_xlfn.STDEV.S(H772:H783)</f>
        <v>2.2651302753958366E-2</v>
      </c>
      <c r="K783" s="91">
        <v>42036</v>
      </c>
      <c r="Q783">
        <v>2378738.2006486356</v>
      </c>
    </row>
    <row r="784" spans="1:17">
      <c r="A784" s="91">
        <v>42064</v>
      </c>
      <c r="B784">
        <v>2105.2299800000001</v>
      </c>
      <c r="C784">
        <v>2117.5200199999999</v>
      </c>
      <c r="D784">
        <v>2039.6899410000001</v>
      </c>
      <c r="E784">
        <v>2067.889893</v>
      </c>
      <c r="F784">
        <v>2067.889893</v>
      </c>
      <c r="G784">
        <v>76675850000</v>
      </c>
      <c r="H784" s="93">
        <f t="shared" si="41"/>
        <v>1.0543704936758194</v>
      </c>
      <c r="I784">
        <f t="shared" ref="I784:I823" si="43">B784/B772</f>
        <v>1.1332575679363999</v>
      </c>
      <c r="J784">
        <f t="shared" si="42"/>
        <v>2.4454410831744187E-2</v>
      </c>
      <c r="K784" s="91">
        <v>42064</v>
      </c>
      <c r="Q784">
        <v>2935534.2126820963</v>
      </c>
    </row>
    <row r="785" spans="1:17">
      <c r="A785" s="91">
        <v>42095</v>
      </c>
      <c r="B785">
        <v>2067.6298830000001</v>
      </c>
      <c r="C785">
        <v>2125.919922</v>
      </c>
      <c r="D785">
        <v>2048.3798830000001</v>
      </c>
      <c r="E785">
        <v>2085.51001</v>
      </c>
      <c r="F785">
        <v>2085.51001</v>
      </c>
      <c r="G785">
        <v>72060940000</v>
      </c>
      <c r="H785" s="93">
        <f t="shared" si="41"/>
        <v>0.98213967245516809</v>
      </c>
      <c r="I785">
        <f t="shared" si="43"/>
        <v>1.1033479508797253</v>
      </c>
      <c r="J785">
        <f t="shared" si="42"/>
        <v>2.5820650238139269E-2</v>
      </c>
      <c r="K785" s="91">
        <v>42095</v>
      </c>
      <c r="Q785">
        <v>7762767.8262065584</v>
      </c>
    </row>
    <row r="786" spans="1:17">
      <c r="A786" s="91">
        <v>42125</v>
      </c>
      <c r="B786">
        <v>2087.3798830000001</v>
      </c>
      <c r="C786">
        <v>2134.719971</v>
      </c>
      <c r="D786">
        <v>2067.929932</v>
      </c>
      <c r="E786">
        <v>2107.389893</v>
      </c>
      <c r="F786">
        <v>2107.389893</v>
      </c>
      <c r="G786">
        <v>65187730000</v>
      </c>
      <c r="H786" s="93">
        <f t="shared" si="41"/>
        <v>1.0095519996892983</v>
      </c>
      <c r="I786">
        <f t="shared" si="43"/>
        <v>1.1077217913405257</v>
      </c>
      <c r="J786">
        <f t="shared" si="42"/>
        <v>2.5804658381940963E-2</v>
      </c>
      <c r="K786" s="91">
        <v>42125</v>
      </c>
      <c r="Q786">
        <v>6666861.3516732892</v>
      </c>
    </row>
    <row r="787" spans="1:17">
      <c r="A787" s="91">
        <v>42156</v>
      </c>
      <c r="B787">
        <v>2108.639893</v>
      </c>
      <c r="C787">
        <v>2129.8701169999999</v>
      </c>
      <c r="D787">
        <v>2056.320068</v>
      </c>
      <c r="E787">
        <v>2063.110107</v>
      </c>
      <c r="F787">
        <v>2063.110107</v>
      </c>
      <c r="G787">
        <v>73213980000</v>
      </c>
      <c r="H787" s="93">
        <f t="shared" si="41"/>
        <v>1.0101850219852866</v>
      </c>
      <c r="I787">
        <f t="shared" si="43"/>
        <v>1.0960407400085264</v>
      </c>
      <c r="J787">
        <f t="shared" si="42"/>
        <v>2.5531932182992562E-2</v>
      </c>
      <c r="K787" s="91">
        <v>42156</v>
      </c>
      <c r="Q787">
        <v>6560057.7029924486</v>
      </c>
    </row>
    <row r="788" spans="1:17">
      <c r="A788" s="91">
        <v>42186</v>
      </c>
      <c r="B788">
        <v>2067</v>
      </c>
      <c r="C788">
        <v>2132.820068</v>
      </c>
      <c r="D788">
        <v>2044.0200199999999</v>
      </c>
      <c r="E788">
        <v>2103.8400879999999</v>
      </c>
      <c r="F788">
        <v>2103.8400879999999</v>
      </c>
      <c r="G788">
        <v>77920590000</v>
      </c>
      <c r="H788" s="93">
        <f t="shared" si="41"/>
        <v>0.98025272445132483</v>
      </c>
      <c r="I788">
        <f t="shared" si="43"/>
        <v>1.0533611030576098</v>
      </c>
      <c r="J788">
        <f t="shared" si="42"/>
        <v>2.6394243071773908E-2</v>
      </c>
      <c r="K788" s="91">
        <v>42186</v>
      </c>
      <c r="Q788">
        <v>3096342.276180034</v>
      </c>
    </row>
    <row r="789" spans="1:17">
      <c r="A789" s="91">
        <v>42217</v>
      </c>
      <c r="B789">
        <v>2104.48999</v>
      </c>
      <c r="C789">
        <v>2112.6599120000001</v>
      </c>
      <c r="D789">
        <v>1867.01001</v>
      </c>
      <c r="E789">
        <v>1972.1800539999999</v>
      </c>
      <c r="F789">
        <v>1972.1800539999999</v>
      </c>
      <c r="G789">
        <v>84626790000</v>
      </c>
      <c r="H789" s="93">
        <f t="shared" si="41"/>
        <v>1.0181373923560717</v>
      </c>
      <c r="I789">
        <f t="shared" si="43"/>
        <v>1.0905223010490244</v>
      </c>
      <c r="J789">
        <f t="shared" si="42"/>
        <v>2.5751571728800327E-2</v>
      </c>
      <c r="K789" s="91">
        <v>42217</v>
      </c>
      <c r="Q789">
        <v>1938758.8469881667</v>
      </c>
    </row>
    <row r="790" spans="1:17">
      <c r="A790" s="91">
        <v>42248</v>
      </c>
      <c r="B790">
        <v>1970.089966</v>
      </c>
      <c r="C790">
        <v>2020.8599850000001</v>
      </c>
      <c r="D790">
        <v>1871.910034</v>
      </c>
      <c r="E790">
        <v>1920.030029</v>
      </c>
      <c r="F790">
        <v>1920.030029</v>
      </c>
      <c r="G790">
        <v>79989370000</v>
      </c>
      <c r="H790" s="93">
        <f t="shared" si="41"/>
        <v>0.9361365344389212</v>
      </c>
      <c r="I790">
        <f t="shared" si="43"/>
        <v>0.98304451395630077</v>
      </c>
      <c r="J790">
        <f t="shared" si="42"/>
        <v>3.0989955008627192E-2</v>
      </c>
      <c r="K790" s="91">
        <v>42248</v>
      </c>
      <c r="Q790">
        <v>15293807.338259861</v>
      </c>
    </row>
    <row r="791" spans="1:17">
      <c r="A791" s="91">
        <v>42278</v>
      </c>
      <c r="B791">
        <v>1919.650024</v>
      </c>
      <c r="C791">
        <v>2094.320068</v>
      </c>
      <c r="D791">
        <v>1893.6999510000001</v>
      </c>
      <c r="E791">
        <v>2079.360107</v>
      </c>
      <c r="F791">
        <v>2079.360107</v>
      </c>
      <c r="G791">
        <v>85844900000</v>
      </c>
      <c r="H791" s="93">
        <f t="shared" si="41"/>
        <v>0.9743971377599514</v>
      </c>
      <c r="I791">
        <f t="shared" si="43"/>
        <v>0.97372990375059054</v>
      </c>
      <c r="J791">
        <f t="shared" si="42"/>
        <v>3.1520605489104569E-2</v>
      </c>
      <c r="K791" s="91">
        <v>42278</v>
      </c>
      <c r="Q791">
        <v>24243895.877161704</v>
      </c>
    </row>
    <row r="792" spans="1:17">
      <c r="A792" s="91">
        <v>42309</v>
      </c>
      <c r="B792">
        <v>2080.76001</v>
      </c>
      <c r="C792">
        <v>2116.4799800000001</v>
      </c>
      <c r="D792">
        <v>2019.3900149999999</v>
      </c>
      <c r="E792">
        <v>2080.4099120000001</v>
      </c>
      <c r="F792">
        <v>2080.4099120000001</v>
      </c>
      <c r="G792">
        <v>75943590000</v>
      </c>
      <c r="H792" s="93">
        <f t="shared" si="41"/>
        <v>1.0839267491395608</v>
      </c>
      <c r="I792">
        <f t="shared" si="43"/>
        <v>1.0309928353386022</v>
      </c>
      <c r="J792">
        <f t="shared" si="42"/>
        <v>3.967996660684224E-2</v>
      </c>
      <c r="K792" s="91">
        <v>42309</v>
      </c>
      <c r="Q792">
        <v>1446926.9241917075</v>
      </c>
    </row>
    <row r="793" spans="1:17">
      <c r="A793" s="91">
        <v>42339</v>
      </c>
      <c r="B793">
        <v>2082.929932</v>
      </c>
      <c r="C793">
        <v>2104.2700199999999</v>
      </c>
      <c r="D793">
        <v>1993.26001</v>
      </c>
      <c r="E793">
        <v>2043.9399410000001</v>
      </c>
      <c r="F793">
        <v>2043.9399410000001</v>
      </c>
      <c r="G793">
        <v>83649260000</v>
      </c>
      <c r="H793" s="93">
        <f t="shared" si="41"/>
        <v>1.0010428506841593</v>
      </c>
      <c r="I793">
        <f t="shared" si="43"/>
        <v>1.0083019018284836</v>
      </c>
      <c r="J793">
        <f t="shared" si="42"/>
        <v>3.916118402457483E-2</v>
      </c>
      <c r="K793" s="91">
        <v>42339</v>
      </c>
      <c r="Q793">
        <v>7335127.4129702756</v>
      </c>
    </row>
    <row r="794" spans="1:17">
      <c r="A794" s="91">
        <v>42370</v>
      </c>
      <c r="B794">
        <v>2038.1999510000001</v>
      </c>
      <c r="C794">
        <v>2038.1999510000001</v>
      </c>
      <c r="D794">
        <v>1812.290039</v>
      </c>
      <c r="E794">
        <v>1940.23999</v>
      </c>
      <c r="F794">
        <v>1940.23999</v>
      </c>
      <c r="G794">
        <v>92409770000</v>
      </c>
      <c r="H794" s="93">
        <f t="shared" si="41"/>
        <v>0.978525450946374</v>
      </c>
      <c r="I794">
        <f t="shared" si="43"/>
        <v>0.98994611103731056</v>
      </c>
      <c r="J794">
        <f t="shared" si="42"/>
        <v>3.9706154316284888E-2</v>
      </c>
      <c r="K794" s="91">
        <v>42370</v>
      </c>
      <c r="Q794">
        <v>1958184.0996250468</v>
      </c>
    </row>
    <row r="795" spans="1:17">
      <c r="A795" s="91">
        <v>42401</v>
      </c>
      <c r="B795">
        <v>1936.9399410000001</v>
      </c>
      <c r="C795">
        <v>1962.959961</v>
      </c>
      <c r="D795">
        <v>1810.099976</v>
      </c>
      <c r="E795">
        <v>1932.2299800000001</v>
      </c>
      <c r="F795">
        <v>1932.2299800000001</v>
      </c>
      <c r="G795">
        <v>93049560000</v>
      </c>
      <c r="H795" s="93">
        <f t="shared" si="41"/>
        <v>0.95031890274047015</v>
      </c>
      <c r="I795">
        <f t="shared" si="43"/>
        <v>0.970085140917755</v>
      </c>
      <c r="J795">
        <f t="shared" si="42"/>
        <v>4.1407550489284406E-2</v>
      </c>
      <c r="K795" s="91">
        <v>42401</v>
      </c>
      <c r="Q795">
        <v>1524023.4309572377</v>
      </c>
    </row>
    <row r="796" spans="1:17">
      <c r="A796" s="91">
        <v>42430</v>
      </c>
      <c r="B796">
        <v>1937.089966</v>
      </c>
      <c r="C796">
        <v>2072.209961</v>
      </c>
      <c r="D796">
        <v>1937.089966</v>
      </c>
      <c r="E796">
        <v>2059.73999</v>
      </c>
      <c r="F796">
        <v>2059.73999</v>
      </c>
      <c r="G796">
        <v>92639420000</v>
      </c>
      <c r="H796" s="93">
        <f t="shared" si="41"/>
        <v>1.0000774546473148</v>
      </c>
      <c r="I796">
        <f t="shared" si="43"/>
        <v>0.92013223467395233</v>
      </c>
      <c r="J796">
        <f t="shared" si="42"/>
        <v>3.7499680631942436E-2</v>
      </c>
      <c r="K796" s="91">
        <v>42430</v>
      </c>
      <c r="Q796">
        <v>1372286.2192174073</v>
      </c>
    </row>
    <row r="797" spans="1:17">
      <c r="A797" s="91">
        <v>42461</v>
      </c>
      <c r="B797">
        <v>2056.6201169999999</v>
      </c>
      <c r="C797">
        <v>2111.0500489999999</v>
      </c>
      <c r="D797">
        <v>2033.8000489999999</v>
      </c>
      <c r="E797">
        <v>2065.3000489999999</v>
      </c>
      <c r="F797">
        <v>2065.3000489999999</v>
      </c>
      <c r="G797">
        <v>81124990000</v>
      </c>
      <c r="H797" s="93">
        <f t="shared" si="41"/>
        <v>1.0617060400384108</v>
      </c>
      <c r="I797">
        <f t="shared" si="43"/>
        <v>0.99467517562474694</v>
      </c>
      <c r="J797">
        <f t="shared" si="42"/>
        <v>4.2026213470526777E-2</v>
      </c>
      <c r="K797" s="91">
        <v>42461</v>
      </c>
      <c r="Q797">
        <v>2347690.2858650661</v>
      </c>
    </row>
    <row r="798" spans="1:17">
      <c r="A798" s="91">
        <v>42491</v>
      </c>
      <c r="B798">
        <v>2067.169922</v>
      </c>
      <c r="C798">
        <v>2103.4799800000001</v>
      </c>
      <c r="D798">
        <v>2025.910034</v>
      </c>
      <c r="E798">
        <v>2096.9499510000001</v>
      </c>
      <c r="F798">
        <v>2096.9499510000001</v>
      </c>
      <c r="G798">
        <v>78883600000</v>
      </c>
      <c r="H798" s="93">
        <f t="shared" si="41"/>
        <v>1.0051296809327088</v>
      </c>
      <c r="I798">
        <f t="shared" si="43"/>
        <v>0.99031802444557715</v>
      </c>
      <c r="J798">
        <f t="shared" si="42"/>
        <v>4.1957565744089202E-2</v>
      </c>
      <c r="K798" s="91">
        <v>42491</v>
      </c>
      <c r="Q798">
        <v>3943606.3736505951</v>
      </c>
    </row>
    <row r="799" spans="1:17">
      <c r="A799" s="91">
        <v>42522</v>
      </c>
      <c r="B799">
        <v>2093.9399410000001</v>
      </c>
      <c r="C799">
        <v>2120.5500489999999</v>
      </c>
      <c r="D799">
        <v>1991.6800539999999</v>
      </c>
      <c r="E799">
        <v>2098.860107</v>
      </c>
      <c r="F799">
        <v>2098.860107</v>
      </c>
      <c r="G799">
        <v>86852700000</v>
      </c>
      <c r="H799" s="93">
        <f t="shared" si="41"/>
        <v>1.0129500815172949</v>
      </c>
      <c r="I799">
        <f t="shared" si="43"/>
        <v>0.99302870440382018</v>
      </c>
      <c r="J799">
        <f t="shared" si="42"/>
        <v>4.2026202832497049E-2</v>
      </c>
      <c r="K799" s="91">
        <v>42522</v>
      </c>
      <c r="Q799">
        <v>1867161.9075643532</v>
      </c>
    </row>
    <row r="800" spans="1:17">
      <c r="A800" s="91">
        <v>42552</v>
      </c>
      <c r="B800">
        <v>2099.3400879999999</v>
      </c>
      <c r="C800">
        <v>2177.0900879999999</v>
      </c>
      <c r="D800">
        <v>2074.0200199999999</v>
      </c>
      <c r="E800">
        <v>2173.6000979999999</v>
      </c>
      <c r="F800">
        <v>2173.6000979999999</v>
      </c>
      <c r="G800">
        <v>69530250000</v>
      </c>
      <c r="H800" s="93">
        <f t="shared" si="41"/>
        <v>1.002578940729991</v>
      </c>
      <c r="I800">
        <f t="shared" si="43"/>
        <v>1.0156459061441703</v>
      </c>
      <c r="J800">
        <f t="shared" si="42"/>
        <v>4.1553577979795857E-2</v>
      </c>
      <c r="K800" s="91">
        <v>42552</v>
      </c>
      <c r="Q800">
        <v>1301683.7543770773</v>
      </c>
    </row>
    <row r="801" spans="1:17">
      <c r="A801" s="91">
        <v>42583</v>
      </c>
      <c r="B801">
        <v>2173.1499020000001</v>
      </c>
      <c r="C801">
        <v>2193.8100589999999</v>
      </c>
      <c r="D801">
        <v>2147.580078</v>
      </c>
      <c r="E801">
        <v>2170.9499510000001</v>
      </c>
      <c r="F801">
        <v>2170.9499510000001</v>
      </c>
      <c r="G801">
        <v>75610310000</v>
      </c>
      <c r="H801" s="93">
        <f t="shared" si="41"/>
        <v>1.0351585788419433</v>
      </c>
      <c r="I801">
        <f t="shared" si="43"/>
        <v>1.0326254400478285</v>
      </c>
      <c r="J801">
        <f t="shared" si="42"/>
        <v>4.2432835062571145E-2</v>
      </c>
      <c r="K801" s="91">
        <v>42583</v>
      </c>
      <c r="Q801">
        <v>10357818.660239425</v>
      </c>
    </row>
    <row r="802" spans="1:17">
      <c r="A802" s="91">
        <v>42614</v>
      </c>
      <c r="B802">
        <v>2171.330078</v>
      </c>
      <c r="C802">
        <v>2187.8701169999999</v>
      </c>
      <c r="D802">
        <v>2119.1201169999999</v>
      </c>
      <c r="E802">
        <v>2168.2700199999999</v>
      </c>
      <c r="F802">
        <v>2168.2700199999999</v>
      </c>
      <c r="G802">
        <v>77270240000</v>
      </c>
      <c r="H802" s="93">
        <f t="shared" si="41"/>
        <v>0.99916258699028293</v>
      </c>
      <c r="I802">
        <f t="shared" si="43"/>
        <v>1.102147676234599</v>
      </c>
      <c r="J802">
        <f t="shared" si="42"/>
        <v>3.6873858016770636E-2</v>
      </c>
      <c r="K802" s="91">
        <v>42614</v>
      </c>
      <c r="Q802">
        <v>3259091.6069426956</v>
      </c>
    </row>
    <row r="803" spans="1:17">
      <c r="A803" s="91">
        <v>42644</v>
      </c>
      <c r="B803">
        <v>2164.330078</v>
      </c>
      <c r="C803">
        <v>2169.6000979999999</v>
      </c>
      <c r="D803">
        <v>2114.719971</v>
      </c>
      <c r="E803">
        <v>2126.1499020000001</v>
      </c>
      <c r="F803">
        <v>2126.1499020000001</v>
      </c>
      <c r="G803">
        <v>73196630000</v>
      </c>
      <c r="H803" s="93">
        <f t="shared" si="41"/>
        <v>0.99677616956034265</v>
      </c>
      <c r="I803">
        <f t="shared" si="43"/>
        <v>1.127460761566401</v>
      </c>
      <c r="J803">
        <f t="shared" si="42"/>
        <v>3.5519660518592198E-2</v>
      </c>
      <c r="K803" s="91">
        <v>42644</v>
      </c>
      <c r="Q803">
        <v>1781359.8630351729</v>
      </c>
    </row>
    <row r="804" spans="1:17">
      <c r="A804" s="91">
        <v>42675</v>
      </c>
      <c r="B804">
        <v>2128.679932</v>
      </c>
      <c r="C804">
        <v>2214.1000979999999</v>
      </c>
      <c r="D804">
        <v>2083.790039</v>
      </c>
      <c r="E804">
        <v>2198.8100589999999</v>
      </c>
      <c r="F804">
        <v>2198.8100589999999</v>
      </c>
      <c r="G804">
        <v>88299760000</v>
      </c>
      <c r="H804" s="93">
        <f t="shared" si="41"/>
        <v>0.98352832298438353</v>
      </c>
      <c r="I804">
        <f t="shared" si="43"/>
        <v>1.023030009116717</v>
      </c>
      <c r="J804">
        <f t="shared" si="42"/>
        <v>2.7628631363321166E-2</v>
      </c>
      <c r="K804" s="91">
        <v>42675</v>
      </c>
      <c r="Q804">
        <v>2773695.6345368824</v>
      </c>
    </row>
    <row r="805" spans="1:17">
      <c r="A805" s="91">
        <v>42705</v>
      </c>
      <c r="B805">
        <v>2200.169922</v>
      </c>
      <c r="C805">
        <v>2277.530029</v>
      </c>
      <c r="D805">
        <v>2187.4399410000001</v>
      </c>
      <c r="E805">
        <v>2238.830078</v>
      </c>
      <c r="F805">
        <v>2238.830078</v>
      </c>
      <c r="G805">
        <v>75251240000</v>
      </c>
      <c r="H805" s="93">
        <f t="shared" si="41"/>
        <v>1.0335841893961164</v>
      </c>
      <c r="I805">
        <f t="shared" si="43"/>
        <v>1.0562860940249814</v>
      </c>
      <c r="J805">
        <f t="shared" si="42"/>
        <v>2.9059698794486336E-2</v>
      </c>
      <c r="K805" s="91">
        <v>42705</v>
      </c>
      <c r="Q805">
        <v>6953848.3853858821</v>
      </c>
    </row>
    <row r="806" spans="1:17">
      <c r="A806" s="91">
        <v>42736</v>
      </c>
      <c r="B806">
        <v>2251.570068</v>
      </c>
      <c r="C806">
        <v>2300.98999</v>
      </c>
      <c r="D806">
        <v>2245.1298830000001</v>
      </c>
      <c r="E806">
        <v>2278.8701169999999</v>
      </c>
      <c r="F806">
        <v>2278.8701169999999</v>
      </c>
      <c r="G806">
        <v>70483180000</v>
      </c>
      <c r="H806" s="93">
        <f t="shared" si="41"/>
        <v>1.0233618983179609</v>
      </c>
      <c r="I806">
        <f t="shared" si="43"/>
        <v>1.1046855667400612</v>
      </c>
      <c r="J806">
        <f t="shared" si="42"/>
        <v>2.8222528540879914E-2</v>
      </c>
      <c r="K806" s="91">
        <v>42736</v>
      </c>
      <c r="Q806">
        <v>2894515.1213619784</v>
      </c>
    </row>
    <row r="807" spans="1:17">
      <c r="A807" s="91">
        <v>42767</v>
      </c>
      <c r="B807">
        <v>2285.5900879999999</v>
      </c>
      <c r="C807">
        <v>2371.540039</v>
      </c>
      <c r="D807">
        <v>2271.6499020000001</v>
      </c>
      <c r="E807">
        <v>2363.639893</v>
      </c>
      <c r="F807">
        <v>2363.639893</v>
      </c>
      <c r="G807">
        <v>69162420000</v>
      </c>
      <c r="H807" s="93">
        <f t="shared" si="41"/>
        <v>1.0151094653830688</v>
      </c>
      <c r="I807">
        <f t="shared" si="43"/>
        <v>1.1800004943983959</v>
      </c>
      <c r="J807">
        <f t="shared" si="42"/>
        <v>2.1416344830741892E-2</v>
      </c>
      <c r="K807" s="91">
        <v>42767</v>
      </c>
      <c r="Q807">
        <v>3745496.0389201907</v>
      </c>
    </row>
    <row r="808" spans="1:17">
      <c r="A808" s="91">
        <v>42795</v>
      </c>
      <c r="B808">
        <v>2380.1298830000001</v>
      </c>
      <c r="C808">
        <v>2400.9799800000001</v>
      </c>
      <c r="D808">
        <v>2322.25</v>
      </c>
      <c r="E808">
        <v>2362.719971</v>
      </c>
      <c r="F808">
        <v>2362.719971</v>
      </c>
      <c r="G808">
        <v>81547770000</v>
      </c>
      <c r="H808" s="93">
        <f t="shared" si="41"/>
        <v>1.0413634078553109</v>
      </c>
      <c r="I808">
        <f t="shared" si="43"/>
        <v>1.228714166495249</v>
      </c>
      <c r="J808">
        <f t="shared" si="42"/>
        <v>2.2259630343719888E-2</v>
      </c>
      <c r="K808" s="91">
        <v>42795</v>
      </c>
      <c r="Q808">
        <v>1213880.2144161325</v>
      </c>
    </row>
    <row r="809" spans="1:17">
      <c r="A809" s="91">
        <v>42826</v>
      </c>
      <c r="B809">
        <v>2362.3400879999999</v>
      </c>
      <c r="C809">
        <v>2398.1599120000001</v>
      </c>
      <c r="D809">
        <v>2328.9499510000001</v>
      </c>
      <c r="E809">
        <v>2384.1999510000001</v>
      </c>
      <c r="F809">
        <v>2384.1999510000001</v>
      </c>
      <c r="G809">
        <v>65265670000</v>
      </c>
      <c r="H809" s="93">
        <f t="shared" si="41"/>
        <v>0.9925257041109129</v>
      </c>
      <c r="I809">
        <f t="shared" si="43"/>
        <v>1.1486516486311313</v>
      </c>
      <c r="J809">
        <f t="shared" si="42"/>
        <v>1.8404143437996647E-2</v>
      </c>
      <c r="K809" s="91">
        <v>42826</v>
      </c>
      <c r="Q809">
        <v>1134372.7824159493</v>
      </c>
    </row>
    <row r="810" spans="1:17">
      <c r="A810" s="91">
        <v>42856</v>
      </c>
      <c r="B810">
        <v>2388.5</v>
      </c>
      <c r="C810">
        <v>2418.709961</v>
      </c>
      <c r="D810">
        <v>2352.719971</v>
      </c>
      <c r="E810">
        <v>2411.8000489999999</v>
      </c>
      <c r="F810">
        <v>2411.8000489999999</v>
      </c>
      <c r="G810">
        <v>79607170000</v>
      </c>
      <c r="H810" s="93">
        <f t="shared" si="41"/>
        <v>1.0110737281786331</v>
      </c>
      <c r="I810">
        <f t="shared" si="43"/>
        <v>1.1554444434297453</v>
      </c>
      <c r="J810">
        <f t="shared" si="42"/>
        <v>1.8288831595944764E-2</v>
      </c>
      <c r="K810" s="91">
        <v>42856</v>
      </c>
      <c r="Q810">
        <v>1581526.8727349029</v>
      </c>
    </row>
    <row r="811" spans="1:17">
      <c r="A811" s="91">
        <v>42887</v>
      </c>
      <c r="B811">
        <v>2415.6499020000001</v>
      </c>
      <c r="C811">
        <v>2453.820068</v>
      </c>
      <c r="D811">
        <v>2405.6999510000001</v>
      </c>
      <c r="E811">
        <v>2423.4099120000001</v>
      </c>
      <c r="F811">
        <v>2423.4099120000001</v>
      </c>
      <c r="G811">
        <v>81002490000</v>
      </c>
      <c r="H811" s="93">
        <f t="shared" si="41"/>
        <v>1.0113669256855768</v>
      </c>
      <c r="I811">
        <f t="shared" si="43"/>
        <v>1.1536385808880274</v>
      </c>
      <c r="J811">
        <f t="shared" si="42"/>
        <v>1.8289146012813645E-2</v>
      </c>
      <c r="K811" s="91">
        <v>42887</v>
      </c>
      <c r="Q811">
        <v>1495921.2133324875</v>
      </c>
    </row>
    <row r="812" spans="1:17">
      <c r="A812" s="91">
        <v>42917</v>
      </c>
      <c r="B812">
        <v>2431.389893</v>
      </c>
      <c r="C812">
        <v>2484.040039</v>
      </c>
      <c r="D812">
        <v>2407.6999510000001</v>
      </c>
      <c r="E812">
        <v>2470.3000489999999</v>
      </c>
      <c r="F812">
        <v>2470.3000489999999</v>
      </c>
      <c r="G812">
        <v>63169400000</v>
      </c>
      <c r="H812" s="93">
        <f t="shared" si="41"/>
        <v>1.0065158411353268</v>
      </c>
      <c r="I812">
        <f t="shared" si="43"/>
        <v>1.158168658283631</v>
      </c>
      <c r="J812">
        <f t="shared" si="42"/>
        <v>1.8136869274248364E-2</v>
      </c>
      <c r="K812" s="91">
        <v>42917</v>
      </c>
      <c r="Q812">
        <v>4997681.0792063801</v>
      </c>
    </row>
    <row r="813" spans="1:17">
      <c r="A813" s="91">
        <v>42948</v>
      </c>
      <c r="B813">
        <v>2477.1000979999999</v>
      </c>
      <c r="C813">
        <v>2490.8701169999999</v>
      </c>
      <c r="D813">
        <v>2417.3500979999999</v>
      </c>
      <c r="E813">
        <v>2471.6499020000001</v>
      </c>
      <c r="F813">
        <v>2471.6499020000001</v>
      </c>
      <c r="G813">
        <v>70616030000</v>
      </c>
      <c r="H813" s="93">
        <f t="shared" si="41"/>
        <v>1.018800030851325</v>
      </c>
      <c r="I813">
        <f t="shared" si="43"/>
        <v>1.1398661894976814</v>
      </c>
      <c r="J813">
        <f t="shared" si="42"/>
        <v>1.6844462869911012E-2</v>
      </c>
      <c r="K813" s="91">
        <v>42948</v>
      </c>
      <c r="Q813">
        <v>1869247.1217055693</v>
      </c>
    </row>
    <row r="814" spans="1:17">
      <c r="A814" s="91">
        <v>42979</v>
      </c>
      <c r="B814">
        <v>2474.419922</v>
      </c>
      <c r="C814">
        <v>2519.4399410000001</v>
      </c>
      <c r="D814">
        <v>2446.5500489999999</v>
      </c>
      <c r="E814">
        <v>2519.360107</v>
      </c>
      <c r="F814">
        <v>2519.360107</v>
      </c>
      <c r="G814">
        <v>66337980000</v>
      </c>
      <c r="H814" s="93">
        <f t="shared" si="41"/>
        <v>0.99891801869364749</v>
      </c>
      <c r="I814">
        <f t="shared" si="43"/>
        <v>1.1395871807197433</v>
      </c>
      <c r="J814">
        <f t="shared" si="42"/>
        <v>1.6860356365548845E-2</v>
      </c>
      <c r="K814" s="91">
        <v>42979</v>
      </c>
      <c r="Q814">
        <v>1064936.9157214067</v>
      </c>
    </row>
    <row r="815" spans="1:17">
      <c r="A815" s="91">
        <v>43009</v>
      </c>
      <c r="B815">
        <v>2521.1999510000001</v>
      </c>
      <c r="C815">
        <v>2582.9799800000001</v>
      </c>
      <c r="D815">
        <v>2520.3999020000001</v>
      </c>
      <c r="E815">
        <v>2575.26001</v>
      </c>
      <c r="F815">
        <v>2575.26001</v>
      </c>
      <c r="G815">
        <v>70871570000</v>
      </c>
      <c r="H815" s="93">
        <f t="shared" si="41"/>
        <v>1.018905452782723</v>
      </c>
      <c r="I815">
        <f t="shared" si="43"/>
        <v>1.1648869904953565</v>
      </c>
      <c r="J815">
        <f t="shared" si="42"/>
        <v>1.6356680703718485E-2</v>
      </c>
      <c r="K815" s="91">
        <v>43009</v>
      </c>
      <c r="Q815">
        <v>2397553.0925420327</v>
      </c>
    </row>
    <row r="816" spans="1:17">
      <c r="A816" s="91">
        <v>43040</v>
      </c>
      <c r="B816">
        <v>2583.209961</v>
      </c>
      <c r="C816">
        <v>2657.73999</v>
      </c>
      <c r="D816">
        <v>2557.4499510000001</v>
      </c>
      <c r="E816">
        <v>2584.8400879999999</v>
      </c>
      <c r="F816">
        <v>2584.8400879999999</v>
      </c>
      <c r="G816">
        <v>95142800000</v>
      </c>
      <c r="H816" s="93">
        <f t="shared" si="41"/>
        <v>1.0245954351916453</v>
      </c>
      <c r="I816">
        <f t="shared" si="43"/>
        <v>1.2135267130427385</v>
      </c>
      <c r="J816">
        <f t="shared" si="42"/>
        <v>1.3733717505751947E-2</v>
      </c>
      <c r="K816" s="91">
        <v>43040</v>
      </c>
      <c r="Q816">
        <v>3178404.3189031919</v>
      </c>
    </row>
    <row r="817" spans="1:17">
      <c r="A817" s="91">
        <v>43070</v>
      </c>
      <c r="B817">
        <v>2645.1000979999999</v>
      </c>
      <c r="C817">
        <v>2694.969971</v>
      </c>
      <c r="D817">
        <v>2605.5200199999999</v>
      </c>
      <c r="E817">
        <v>2673.610107</v>
      </c>
      <c r="F817">
        <v>2673.610107</v>
      </c>
      <c r="G817">
        <v>65251190000</v>
      </c>
      <c r="H817" s="93">
        <f t="shared" si="41"/>
        <v>1.0239586165795216</v>
      </c>
      <c r="I817">
        <f t="shared" si="43"/>
        <v>1.2022253697548728</v>
      </c>
      <c r="J817">
        <f t="shared" si="42"/>
        <v>1.2890410701163533E-2</v>
      </c>
      <c r="K817" s="91">
        <v>43070</v>
      </c>
      <c r="Q817">
        <v>1249476.7967119052</v>
      </c>
    </row>
    <row r="818" spans="1:17">
      <c r="A818" s="91">
        <v>43101</v>
      </c>
      <c r="B818">
        <v>2683.7299800000001</v>
      </c>
      <c r="C818">
        <v>2872.8701169999999</v>
      </c>
      <c r="D818">
        <v>2682.360107</v>
      </c>
      <c r="E818">
        <v>2823.8100589999999</v>
      </c>
      <c r="F818">
        <v>2823.8100589999999</v>
      </c>
      <c r="G818">
        <v>76860120000</v>
      </c>
      <c r="H818" s="93">
        <f t="shared" si="41"/>
        <v>1.0146043176321413</v>
      </c>
      <c r="I818">
        <f t="shared" si="43"/>
        <v>1.1919371367304925</v>
      </c>
      <c r="J818">
        <f t="shared" si="42"/>
        <v>1.2653109243116077E-2</v>
      </c>
      <c r="K818" s="91">
        <v>43101</v>
      </c>
      <c r="Q818">
        <v>4643717.682101232</v>
      </c>
    </row>
    <row r="819" spans="1:17">
      <c r="A819" s="91">
        <v>43132</v>
      </c>
      <c r="B819">
        <v>2816.4499510000001</v>
      </c>
      <c r="C819">
        <v>2835.959961</v>
      </c>
      <c r="D819">
        <v>2532.6899410000001</v>
      </c>
      <c r="E819">
        <v>2713.830078</v>
      </c>
      <c r="F819">
        <v>2713.830078</v>
      </c>
      <c r="G819">
        <v>79579410000</v>
      </c>
      <c r="H819" s="93">
        <f t="shared" si="41"/>
        <v>1.049453548601786</v>
      </c>
      <c r="I819">
        <f t="shared" si="43"/>
        <v>1.2322638104650374</v>
      </c>
      <c r="J819">
        <f t="shared" si="42"/>
        <v>1.6132431188072071E-2</v>
      </c>
      <c r="K819" s="91">
        <v>43132</v>
      </c>
      <c r="Q819">
        <v>4058627.1220929893</v>
      </c>
    </row>
    <row r="820" spans="1:17">
      <c r="A820" s="91">
        <v>43160</v>
      </c>
      <c r="B820">
        <v>2715.219971</v>
      </c>
      <c r="C820">
        <v>2801.8999020000001</v>
      </c>
      <c r="D820">
        <v>2585.889893</v>
      </c>
      <c r="E820">
        <v>2640.8701169999999</v>
      </c>
      <c r="F820">
        <v>2640.8701169999999</v>
      </c>
      <c r="G820">
        <v>76369800000</v>
      </c>
      <c r="H820" s="93">
        <f t="shared" si="41"/>
        <v>0.96405759670465374</v>
      </c>
      <c r="I820">
        <f t="shared" si="43"/>
        <v>1.140786471525512</v>
      </c>
      <c r="J820">
        <f t="shared" si="42"/>
        <v>2.0622657029856457E-2</v>
      </c>
      <c r="K820" s="91">
        <v>43160</v>
      </c>
      <c r="Q820">
        <v>1250941.9368015502</v>
      </c>
    </row>
    <row r="821" spans="1:17">
      <c r="A821" s="91">
        <v>43191</v>
      </c>
      <c r="B821">
        <v>2633.4499510000001</v>
      </c>
      <c r="C821">
        <v>2717.48999</v>
      </c>
      <c r="D821">
        <v>2553.8000489999999</v>
      </c>
      <c r="E821">
        <v>2648.0500489999999</v>
      </c>
      <c r="F821">
        <v>2648.0500489999999</v>
      </c>
      <c r="G821">
        <v>69648590000</v>
      </c>
      <c r="H821" s="93">
        <f t="shared" si="41"/>
        <v>0.96988456888452967</v>
      </c>
      <c r="I821">
        <f t="shared" si="43"/>
        <v>1.1147632656183415</v>
      </c>
      <c r="J821">
        <f t="shared" si="42"/>
        <v>2.3345559833915622E-2</v>
      </c>
      <c r="K821" s="91">
        <v>43191</v>
      </c>
      <c r="Q821">
        <v>7036594.3159739366</v>
      </c>
    </row>
    <row r="822" spans="1:17">
      <c r="A822" s="91">
        <v>43221</v>
      </c>
      <c r="B822">
        <v>2642.959961</v>
      </c>
      <c r="C822">
        <v>2742.23999</v>
      </c>
      <c r="D822">
        <v>2594.6201169999999</v>
      </c>
      <c r="E822">
        <v>2705.2700199999999</v>
      </c>
      <c r="F822">
        <v>2705.2700199999999</v>
      </c>
      <c r="G822">
        <v>75617280000</v>
      </c>
      <c r="H822" s="93">
        <f t="shared" si="41"/>
        <v>1.0036112362782474</v>
      </c>
      <c r="I822">
        <f t="shared" si="43"/>
        <v>1.1065354661921709</v>
      </c>
      <c r="J822">
        <f t="shared" si="42"/>
        <v>2.3394650233236253E-2</v>
      </c>
      <c r="K822" s="91">
        <v>43221</v>
      </c>
      <c r="Q822">
        <v>2611007.8902182188</v>
      </c>
    </row>
    <row r="823" spans="1:17">
      <c r="A823" s="91">
        <v>43252</v>
      </c>
      <c r="B823">
        <v>2718.6999510000001</v>
      </c>
      <c r="C823">
        <v>2791.469971</v>
      </c>
      <c r="D823">
        <v>2718.6999510000001</v>
      </c>
      <c r="E823">
        <v>2762.570068</v>
      </c>
      <c r="F823">
        <v>2762.570068</v>
      </c>
      <c r="G823">
        <v>47381480000</v>
      </c>
      <c r="H823" s="93">
        <f t="shared" si="41"/>
        <v>1.0286572597079158</v>
      </c>
      <c r="I823">
        <f t="shared" si="43"/>
        <v>1.1254528020592283</v>
      </c>
      <c r="J823">
        <f t="shared" si="42"/>
        <v>2.4094304046419799E-2</v>
      </c>
      <c r="K823" s="91">
        <v>43252</v>
      </c>
      <c r="Q823">
        <v>3328247.19568745</v>
      </c>
    </row>
    <row r="824" spans="1:17">
      <c r="Q824">
        <v>4321098.6571254954</v>
      </c>
    </row>
    <row r="825" spans="1:17">
      <c r="Q825">
        <v>3976734.4820708716</v>
      </c>
    </row>
    <row r="826" spans="1:17">
      <c r="Q826">
        <v>1682024.7859356471</v>
      </c>
    </row>
    <row r="827" spans="1:17">
      <c r="Q827">
        <v>6670272.5967906127</v>
      </c>
    </row>
    <row r="828" spans="1:17">
      <c r="Q828">
        <v>7578613.0177534185</v>
      </c>
    </row>
    <row r="829" spans="1:17">
      <c r="Q829">
        <v>4673909.0949498024</v>
      </c>
    </row>
    <row r="830" spans="1:17">
      <c r="Q830">
        <v>1119174.9817052162</v>
      </c>
    </row>
    <row r="831" spans="1:17">
      <c r="Q831">
        <v>2831770.0926214587</v>
      </c>
    </row>
    <row r="832" spans="1:17">
      <c r="Q832">
        <v>3833783.8973409254</v>
      </c>
    </row>
    <row r="833" spans="17:17">
      <c r="Q833">
        <v>618484.69490368082</v>
      </c>
    </row>
    <row r="834" spans="17:17">
      <c r="Q834">
        <v>990680.67513455765</v>
      </c>
    </row>
    <row r="835" spans="17:17">
      <c r="Q835">
        <v>711384.40086316329</v>
      </c>
    </row>
    <row r="836" spans="17:17">
      <c r="Q836">
        <v>2643257.7108323318</v>
      </c>
    </row>
    <row r="837" spans="17:17">
      <c r="Q837">
        <v>3481339.8014006233</v>
      </c>
    </row>
    <row r="838" spans="17:17">
      <c r="Q838">
        <v>2037900.1386032936</v>
      </c>
    </row>
    <row r="839" spans="17:17">
      <c r="Q839">
        <v>2398733.9046025197</v>
      </c>
    </row>
    <row r="840" spans="17:17">
      <c r="Q840">
        <v>1811691.5018416748</v>
      </c>
    </row>
    <row r="841" spans="17:17">
      <c r="Q841">
        <v>3137133.6553791179</v>
      </c>
    </row>
    <row r="842" spans="17:17">
      <c r="Q842">
        <v>3058224.2547096019</v>
      </c>
    </row>
    <row r="843" spans="17:17">
      <c r="Q843">
        <v>2245240.3656666372</v>
      </c>
    </row>
    <row r="844" spans="17:17">
      <c r="Q844">
        <v>12753001.290959636</v>
      </c>
    </row>
    <row r="845" spans="17:17">
      <c r="Q845">
        <v>9490506.9604337234</v>
      </c>
    </row>
    <row r="846" spans="17:17">
      <c r="Q846">
        <v>8248975.6086560674</v>
      </c>
    </row>
    <row r="847" spans="17:17">
      <c r="Q847">
        <v>850532.82732625969</v>
      </c>
    </row>
    <row r="848" spans="17:17">
      <c r="Q848">
        <v>2419592.0090042185</v>
      </c>
    </row>
    <row r="849" spans="17:17">
      <c r="Q849">
        <v>8019629.9219923196</v>
      </c>
    </row>
    <row r="850" spans="17:17">
      <c r="Q850">
        <v>3004791.7244089982</v>
      </c>
    </row>
    <row r="851" spans="17:17">
      <c r="Q851">
        <v>2880940.5793101769</v>
      </c>
    </row>
    <row r="852" spans="17:17">
      <c r="Q852">
        <v>1178426.1317967414</v>
      </c>
    </row>
    <row r="853" spans="17:17">
      <c r="Q853">
        <v>4156667.7479955964</v>
      </c>
    </row>
    <row r="854" spans="17:17">
      <c r="Q854">
        <v>2298338.1490742019</v>
      </c>
    </row>
    <row r="855" spans="17:17">
      <c r="Q855">
        <v>4002553.9459254947</v>
      </c>
    </row>
    <row r="856" spans="17:17">
      <c r="Q856">
        <v>3439637.2239844282</v>
      </c>
    </row>
    <row r="857" spans="17:17">
      <c r="Q857">
        <v>2580103.3930844674</v>
      </c>
    </row>
    <row r="858" spans="17:17">
      <c r="Q858">
        <v>1700546.6174915568</v>
      </c>
    </row>
    <row r="859" spans="17:17">
      <c r="Q859">
        <v>2825302.8279406144</v>
      </c>
    </row>
    <row r="860" spans="17:17">
      <c r="Q860">
        <v>8096678.7093994124</v>
      </c>
    </row>
    <row r="861" spans="17:17">
      <c r="Q861">
        <v>6579022.9904817063</v>
      </c>
    </row>
    <row r="862" spans="17:17">
      <c r="Q862">
        <v>7621755.8605613429</v>
      </c>
    </row>
    <row r="863" spans="17:17">
      <c r="Q863">
        <v>1521317.6924676837</v>
      </c>
    </row>
    <row r="864" spans="17:17">
      <c r="Q864">
        <v>1806597.5021998417</v>
      </c>
    </row>
    <row r="865" spans="17:17">
      <c r="Q865">
        <v>2351189.3106755377</v>
      </c>
    </row>
    <row r="866" spans="17:17">
      <c r="Q866">
        <v>1780047.7210893885</v>
      </c>
    </row>
    <row r="867" spans="17:17">
      <c r="Q867">
        <v>3249261.7635274511</v>
      </c>
    </row>
    <row r="868" spans="17:17">
      <c r="Q868">
        <v>6956686.5481747724</v>
      </c>
    </row>
    <row r="869" spans="17:17">
      <c r="Q869">
        <v>2273290.0686725392</v>
      </c>
    </row>
    <row r="870" spans="17:17">
      <c r="Q870">
        <v>5892626.9277104158</v>
      </c>
    </row>
    <row r="871" spans="17:17">
      <c r="Q871">
        <v>8610549.5237669442</v>
      </c>
    </row>
    <row r="872" spans="17:17">
      <c r="Q872">
        <v>9448019.7412598208</v>
      </c>
    </row>
    <row r="873" spans="17:17">
      <c r="Q873">
        <v>6233915.1652129982</v>
      </c>
    </row>
    <row r="874" spans="17:17">
      <c r="Q874">
        <v>884787.4115723538</v>
      </c>
    </row>
    <row r="875" spans="17:17">
      <c r="Q875">
        <v>2772922.916822644</v>
      </c>
    </row>
    <row r="876" spans="17:17">
      <c r="Q876">
        <v>1781497.0092681337</v>
      </c>
    </row>
    <row r="877" spans="17:17">
      <c r="Q877">
        <v>693237.14423390816</v>
      </c>
    </row>
    <row r="878" spans="17:17">
      <c r="Q878">
        <v>1468977.7254146058</v>
      </c>
    </row>
    <row r="879" spans="17:17">
      <c r="Q879">
        <v>4168004.543567576</v>
      </c>
    </row>
    <row r="880" spans="17:17">
      <c r="Q880">
        <v>3516786.8016809355</v>
      </c>
    </row>
    <row r="881" spans="17:17">
      <c r="Q881">
        <v>966148.14213620289</v>
      </c>
    </row>
    <row r="882" spans="17:17">
      <c r="Q882">
        <v>1391994.5781029863</v>
      </c>
    </row>
    <row r="883" spans="17:17">
      <c r="Q883">
        <v>4854115.0046211956</v>
      </c>
    </row>
    <row r="884" spans="17:17">
      <c r="Q884">
        <v>2688677.5145566459</v>
      </c>
    </row>
    <row r="885" spans="17:17">
      <c r="Q885">
        <v>1812451.6012458892</v>
      </c>
    </row>
    <row r="886" spans="17:17">
      <c r="Q886">
        <v>51376010.358272612</v>
      </c>
    </row>
    <row r="887" spans="17:17">
      <c r="Q887">
        <v>1767434.5300397142</v>
      </c>
    </row>
    <row r="888" spans="17:17">
      <c r="Q888">
        <v>4991664.7103398973</v>
      </c>
    </row>
    <row r="889" spans="17:17">
      <c r="Q889">
        <v>2922437.0042742393</v>
      </c>
    </row>
    <row r="890" spans="17:17">
      <c r="Q890">
        <v>2226292.3091544579</v>
      </c>
    </row>
    <row r="891" spans="17:17">
      <c r="Q891">
        <v>14163257.963985343</v>
      </c>
    </row>
    <row r="892" spans="17:17">
      <c r="Q892">
        <v>1413915.4335511005</v>
      </c>
    </row>
    <row r="893" spans="17:17">
      <c r="Q893">
        <v>3541313.0701276441</v>
      </c>
    </row>
    <row r="894" spans="17:17">
      <c r="Q894">
        <v>20180118.272384211</v>
      </c>
    </row>
    <row r="895" spans="17:17">
      <c r="Q895">
        <v>5977207.7900462123</v>
      </c>
    </row>
    <row r="896" spans="17:17">
      <c r="Q896">
        <v>1873258.4490218358</v>
      </c>
    </row>
    <row r="897" spans="17:17">
      <c r="Q897">
        <v>2085400.1807793693</v>
      </c>
    </row>
    <row r="898" spans="17:17">
      <c r="Q898">
        <v>4279974.3796350332</v>
      </c>
    </row>
    <row r="899" spans="17:17">
      <c r="Q899">
        <v>10026589.798559155</v>
      </c>
    </row>
    <row r="900" spans="17:17">
      <c r="Q900">
        <v>3390440.2398031573</v>
      </c>
    </row>
    <row r="901" spans="17:17">
      <c r="Q901">
        <v>819583.54309080762</v>
      </c>
    </row>
    <row r="902" spans="17:17">
      <c r="Q902">
        <v>4510432.433359284</v>
      </c>
    </row>
    <row r="903" spans="17:17">
      <c r="Q903">
        <v>2564954.8895107917</v>
      </c>
    </row>
    <row r="904" spans="17:17">
      <c r="Q904">
        <v>1240644.6143813115</v>
      </c>
    </row>
    <row r="905" spans="17:17">
      <c r="Q905">
        <v>4943981.5380992787</v>
      </c>
    </row>
    <row r="906" spans="17:17">
      <c r="Q906">
        <v>9650552.6046866328</v>
      </c>
    </row>
    <row r="907" spans="17:17">
      <c r="Q907">
        <v>435982.51075863873</v>
      </c>
    </row>
    <row r="908" spans="17:17">
      <c r="Q908">
        <v>4522813.1677870657</v>
      </c>
    </row>
    <row r="909" spans="17:17">
      <c r="Q909">
        <v>1663706.1328826058</v>
      </c>
    </row>
    <row r="910" spans="17:17">
      <c r="Q910">
        <v>8114665.6425045691</v>
      </c>
    </row>
    <row r="911" spans="17:17">
      <c r="Q911">
        <v>5048895.3689042116</v>
      </c>
    </row>
    <row r="912" spans="17:17">
      <c r="Q912">
        <v>1228153.7025767236</v>
      </c>
    </row>
    <row r="913" spans="17:17">
      <c r="Q913">
        <v>471487.13355211646</v>
      </c>
    </row>
    <row r="914" spans="17:17">
      <c r="Q914">
        <v>13631253.423692727</v>
      </c>
    </row>
    <row r="915" spans="17:17">
      <c r="Q915">
        <v>1409609.410264903</v>
      </c>
    </row>
    <row r="916" spans="17:17">
      <c r="Q916">
        <v>7431927.4111624043</v>
      </c>
    </row>
    <row r="917" spans="17:17">
      <c r="Q917">
        <v>2039169.4780012807</v>
      </c>
    </row>
    <row r="918" spans="17:17">
      <c r="Q918">
        <v>2311182.2210252793</v>
      </c>
    </row>
    <row r="919" spans="17:17">
      <c r="Q919">
        <v>4875449.4906549202</v>
      </c>
    </row>
    <row r="920" spans="17:17">
      <c r="Q920">
        <v>5783899.951654871</v>
      </c>
    </row>
    <row r="921" spans="17:17">
      <c r="Q921">
        <v>3217383.1895199018</v>
      </c>
    </row>
    <row r="922" spans="17:17">
      <c r="Q922">
        <v>3320617.9278627196</v>
      </c>
    </row>
    <row r="923" spans="17:17">
      <c r="Q923">
        <v>3074018.1773713171</v>
      </c>
    </row>
    <row r="924" spans="17:17">
      <c r="Q924">
        <v>4365885.2345314119</v>
      </c>
    </row>
    <row r="925" spans="17:17">
      <c r="Q925">
        <v>4605534.1597171938</v>
      </c>
    </row>
    <row r="926" spans="17:17">
      <c r="Q926">
        <v>2398617.8353135064</v>
      </c>
    </row>
    <row r="927" spans="17:17">
      <c r="Q927">
        <v>1373783.083630705</v>
      </c>
    </row>
    <row r="928" spans="17:17">
      <c r="Q928">
        <v>5173760.4303596355</v>
      </c>
    </row>
    <row r="929" spans="17:17">
      <c r="Q929">
        <v>4445245.8876403365</v>
      </c>
    </row>
    <row r="930" spans="17:17">
      <c r="Q930">
        <v>2319105.5953193461</v>
      </c>
    </row>
    <row r="931" spans="17:17">
      <c r="Q931">
        <v>3462245.3116223468</v>
      </c>
    </row>
    <row r="932" spans="17:17">
      <c r="Q932">
        <v>4846849.5067174435</v>
      </c>
    </row>
    <row r="933" spans="17:17">
      <c r="Q933">
        <v>12550871.863769345</v>
      </c>
    </row>
    <row r="934" spans="17:17">
      <c r="Q934">
        <v>7141792.8931792704</v>
      </c>
    </row>
    <row r="935" spans="17:17">
      <c r="Q935">
        <v>2453086.0781234447</v>
      </c>
    </row>
    <row r="936" spans="17:17">
      <c r="Q936">
        <v>1172881.8722699021</v>
      </c>
    </row>
    <row r="937" spans="17:17">
      <c r="Q937">
        <v>3095892.8149324716</v>
      </c>
    </row>
    <row r="938" spans="17:17">
      <c r="Q938">
        <v>2630715.9924131604</v>
      </c>
    </row>
    <row r="939" spans="17:17">
      <c r="Q939">
        <v>9344076.6939180978</v>
      </c>
    </row>
    <row r="940" spans="17:17">
      <c r="Q940">
        <v>3137799.2663192861</v>
      </c>
    </row>
    <row r="941" spans="17:17">
      <c r="Q941">
        <v>2842201.8972390494</v>
      </c>
    </row>
    <row r="942" spans="17:17">
      <c r="Q942">
        <v>5265544.0124628637</v>
      </c>
    </row>
    <row r="943" spans="17:17">
      <c r="Q943">
        <v>4357546.64137905</v>
      </c>
    </row>
    <row r="944" spans="17:17">
      <c r="Q944">
        <v>1392646.0797289296</v>
      </c>
    </row>
    <row r="945" spans="17:17">
      <c r="Q945">
        <v>3371946.4654640853</v>
      </c>
    </row>
    <row r="946" spans="17:17">
      <c r="Q946">
        <v>5094383.6147709731</v>
      </c>
    </row>
    <row r="947" spans="17:17">
      <c r="Q947">
        <v>4552962.7716223346</v>
      </c>
    </row>
    <row r="948" spans="17:17">
      <c r="Q948">
        <v>2420092.0689070839</v>
      </c>
    </row>
    <row r="949" spans="17:17">
      <c r="Q949">
        <v>7982010.4098677514</v>
      </c>
    </row>
    <row r="950" spans="17:17">
      <c r="Q950">
        <v>2849718.5297390898</v>
      </c>
    </row>
    <row r="951" spans="17:17">
      <c r="Q951">
        <v>1907911.0530540827</v>
      </c>
    </row>
    <row r="952" spans="17:17">
      <c r="Q952">
        <v>1651938.9023407341</v>
      </c>
    </row>
    <row r="953" spans="17:17">
      <c r="Q953">
        <v>3567407.101964863</v>
      </c>
    </row>
    <row r="954" spans="17:17">
      <c r="Q954">
        <v>6592645.9862519866</v>
      </c>
    </row>
    <row r="955" spans="17:17">
      <c r="Q955">
        <v>2357428.5870860172</v>
      </c>
    </row>
    <row r="956" spans="17:17">
      <c r="Q956">
        <v>1990555.2356594498</v>
      </c>
    </row>
    <row r="957" spans="17:17">
      <c r="Q957">
        <v>5695269.5766811417</v>
      </c>
    </row>
    <row r="958" spans="17:17">
      <c r="Q958">
        <v>3250486.3486580728</v>
      </c>
    </row>
    <row r="959" spans="17:17">
      <c r="Q959">
        <v>1776450.4534249783</v>
      </c>
    </row>
    <row r="960" spans="17:17">
      <c r="Q960">
        <v>3776468.9294785932</v>
      </c>
    </row>
    <row r="961" spans="17:17">
      <c r="Q961">
        <v>3345613.4591573873</v>
      </c>
    </row>
    <row r="962" spans="17:17">
      <c r="Q962">
        <v>16418394.135419743</v>
      </c>
    </row>
    <row r="963" spans="17:17">
      <c r="Q963">
        <v>5860279.8133309074</v>
      </c>
    </row>
    <row r="964" spans="17:17">
      <c r="Q964">
        <v>12576471.807037102</v>
      </c>
    </row>
    <row r="965" spans="17:17">
      <c r="Q965">
        <v>456224.93441615609</v>
      </c>
    </row>
    <row r="966" spans="17:17">
      <c r="Q966">
        <v>3593606.7198278634</v>
      </c>
    </row>
    <row r="967" spans="17:17">
      <c r="Q967">
        <v>5162183.9083203878</v>
      </c>
    </row>
    <row r="968" spans="17:17">
      <c r="Q968">
        <v>2510958.9168672669</v>
      </c>
    </row>
    <row r="969" spans="17:17">
      <c r="Q969">
        <v>1320123.9956133722</v>
      </c>
    </row>
    <row r="970" spans="17:17">
      <c r="Q970">
        <v>9517986.313225124</v>
      </c>
    </row>
    <row r="971" spans="17:17">
      <c r="Q971">
        <v>5408035.7775409808</v>
      </c>
    </row>
    <row r="972" spans="17:17">
      <c r="Q972">
        <v>5274218.7352448404</v>
      </c>
    </row>
    <row r="973" spans="17:17">
      <c r="Q973">
        <v>7595882.9268881641</v>
      </c>
    </row>
    <row r="974" spans="17:17">
      <c r="Q974">
        <v>6190494.7438166402</v>
      </c>
    </row>
    <row r="975" spans="17:17">
      <c r="Q975">
        <v>4353961.8105321396</v>
      </c>
    </row>
    <row r="976" spans="17:17">
      <c r="Q976">
        <v>4987931.2276633903</v>
      </c>
    </row>
    <row r="977" spans="17:17">
      <c r="Q977">
        <v>2415576.6179064619</v>
      </c>
    </row>
    <row r="978" spans="17:17">
      <c r="Q978">
        <v>1725593.0062249899</v>
      </c>
    </row>
    <row r="979" spans="17:17">
      <c r="Q979">
        <v>802237.385440554</v>
      </c>
    </row>
    <row r="980" spans="17:17">
      <c r="Q980">
        <v>12429592.95233936</v>
      </c>
    </row>
    <row r="981" spans="17:17">
      <c r="Q981">
        <v>1169456.1032218656</v>
      </c>
    </row>
    <row r="982" spans="17:17">
      <c r="Q982">
        <v>5966325.4647856932</v>
      </c>
    </row>
    <row r="983" spans="17:17">
      <c r="Q983">
        <v>4808361.5846963469</v>
      </c>
    </row>
    <row r="984" spans="17:17">
      <c r="Q984">
        <v>2209966.4507456203</v>
      </c>
    </row>
    <row r="985" spans="17:17">
      <c r="Q985">
        <v>1161044.2903159966</v>
      </c>
    </row>
    <row r="986" spans="17:17">
      <c r="Q986">
        <v>3593329.7052359022</v>
      </c>
    </row>
    <row r="987" spans="17:17">
      <c r="Q987">
        <v>2316847.7238685484</v>
      </c>
    </row>
    <row r="988" spans="17:17">
      <c r="Q988">
        <v>10490736.74566886</v>
      </c>
    </row>
    <row r="989" spans="17:17">
      <c r="Q989">
        <v>1235469.1957096653</v>
      </c>
    </row>
    <row r="990" spans="17:17">
      <c r="Q990">
        <v>1866493.5476766878</v>
      </c>
    </row>
    <row r="991" spans="17:17">
      <c r="Q991">
        <v>1736023.2131834363</v>
      </c>
    </row>
    <row r="992" spans="17:17">
      <c r="Q992">
        <v>1470631.9908030147</v>
      </c>
    </row>
    <row r="993" spans="17:17">
      <c r="Q993">
        <v>1852651.7779418379</v>
      </c>
    </row>
    <row r="994" spans="17:17">
      <c r="Q994">
        <v>20308032.630646616</v>
      </c>
    </row>
    <row r="995" spans="17:17">
      <c r="Q995">
        <v>2510987.6015454992</v>
      </c>
    </row>
    <row r="996" spans="17:17">
      <c r="Q996">
        <v>2154976.342322153</v>
      </c>
    </row>
    <row r="997" spans="17:17">
      <c r="Q997">
        <v>2523208.6641381276</v>
      </c>
    </row>
    <row r="998" spans="17:17">
      <c r="Q998">
        <v>1709301.8833122272</v>
      </c>
    </row>
    <row r="999" spans="17:17">
      <c r="Q999">
        <v>1932065.0963622308</v>
      </c>
    </row>
    <row r="1000" spans="17:17">
      <c r="Q1000">
        <v>6152683.8142404081</v>
      </c>
    </row>
    <row r="1001" spans="17:17">
      <c r="Q1001">
        <v>12701279.410528107</v>
      </c>
    </row>
    <row r="1002" spans="17:17">
      <c r="Q1002">
        <v>2033126.6613227243</v>
      </c>
    </row>
    <row r="1003" spans="17:17">
      <c r="Q1003">
        <v>5099358.9661604427</v>
      </c>
    </row>
    <row r="1004" spans="17:17">
      <c r="Q1004">
        <v>3592313.0061422405</v>
      </c>
    </row>
    <row r="1005" spans="17:17">
      <c r="Q1005">
        <v>9593133.7519453615</v>
      </c>
    </row>
    <row r="1006" spans="17:17">
      <c r="Q1006">
        <v>2302816.8934044456</v>
      </c>
    </row>
    <row r="1007" spans="17:17">
      <c r="Q1007">
        <v>2553601.0572296646</v>
      </c>
    </row>
    <row r="1008" spans="17:17">
      <c r="Q1008">
        <v>1628867.7295295577</v>
      </c>
    </row>
    <row r="1009" spans="17:17">
      <c r="Q1009">
        <v>1641686.6106334047</v>
      </c>
    </row>
    <row r="1010" spans="17:17">
      <c r="Q1010">
        <v>7908714.5496632913</v>
      </c>
    </row>
    <row r="1011" spans="17:17">
      <c r="Q1011">
        <v>9312645.4347028397</v>
      </c>
    </row>
    <row r="1012" spans="17:17">
      <c r="Q1012">
        <v>836572.24827892089</v>
      </c>
    </row>
    <row r="1013" spans="17:17">
      <c r="Q1013">
        <v>6210727.0193372024</v>
      </c>
    </row>
    <row r="1014" spans="17:17">
      <c r="Q1014">
        <v>783120.19910488254</v>
      </c>
    </row>
    <row r="1015" spans="17:17">
      <c r="Q1015">
        <v>4960061.3070463724</v>
      </c>
    </row>
    <row r="1016" spans="17:17">
      <c r="Q1016">
        <v>14263461.717782425</v>
      </c>
    </row>
    <row r="1017" spans="17:17">
      <c r="Q1017">
        <v>1217646.6686731162</v>
      </c>
    </row>
    <row r="1018" spans="17:17">
      <c r="Q1018">
        <v>16043576.792351445</v>
      </c>
    </row>
    <row r="1019" spans="17:17">
      <c r="Q1019">
        <v>3681704.2958013248</v>
      </c>
    </row>
    <row r="1020" spans="17:17">
      <c r="Q1020">
        <v>2429737.7551331464</v>
      </c>
    </row>
    <row r="1021" spans="17:17">
      <c r="Q1021">
        <v>7105687.1103666052</v>
      </c>
    </row>
    <row r="1022" spans="17:17">
      <c r="Q1022">
        <v>1143296.1320229222</v>
      </c>
    </row>
    <row r="1023" spans="17:17">
      <c r="Q1023">
        <v>4998246.319957437</v>
      </c>
    </row>
    <row r="1024" spans="17:17">
      <c r="Q1024">
        <v>2260574.8399389009</v>
      </c>
    </row>
    <row r="1025" spans="17:17">
      <c r="Q1025">
        <v>11706112.519091202</v>
      </c>
    </row>
    <row r="1026" spans="17:17">
      <c r="Q1026">
        <v>4809829.1130194645</v>
      </c>
    </row>
    <row r="1027" spans="17:17">
      <c r="Q1027">
        <v>2460366.5429984238</v>
      </c>
    </row>
    <row r="1028" spans="17:17">
      <c r="Q1028">
        <v>5587925.3553745802</v>
      </c>
    </row>
    <row r="1029" spans="17:17">
      <c r="Q1029">
        <v>15307547.968060171</v>
      </c>
    </row>
    <row r="1030" spans="17:17">
      <c r="Q1030">
        <v>10662462.905113563</v>
      </c>
    </row>
    <row r="1031" spans="17:17">
      <c r="Q1031">
        <v>4543991.3568279082</v>
      </c>
    </row>
    <row r="1032" spans="17:17">
      <c r="Q1032">
        <v>4438168.4556711391</v>
      </c>
    </row>
    <row r="1033" spans="17:17">
      <c r="Q1033">
        <v>4727205.4271035669</v>
      </c>
    </row>
    <row r="1034" spans="17:17">
      <c r="Q1034">
        <v>3515191.6264832825</v>
      </c>
    </row>
    <row r="1035" spans="17:17">
      <c r="Q1035">
        <v>2048676.5532379826</v>
      </c>
    </row>
    <row r="1036" spans="17:17">
      <c r="Q1036">
        <v>1189438.1639574962</v>
      </c>
    </row>
    <row r="1037" spans="17:17">
      <c r="Q1037">
        <v>2255468.7252927371</v>
      </c>
    </row>
    <row r="1038" spans="17:17">
      <c r="Q1038">
        <v>2377241.0450289748</v>
      </c>
    </row>
    <row r="1039" spans="17:17">
      <c r="Q1039">
        <v>5866053.4173945878</v>
      </c>
    </row>
    <row r="1040" spans="17:17">
      <c r="Q1040">
        <v>2594850.9086384433</v>
      </c>
    </row>
    <row r="1041" spans="17:17">
      <c r="Q1041">
        <v>1686855.2941726388</v>
      </c>
    </row>
    <row r="1042" spans="17:17">
      <c r="Q1042">
        <v>2308458.884782284</v>
      </c>
    </row>
    <row r="1043" spans="17:17">
      <c r="Q1043">
        <v>14049371.656479923</v>
      </c>
    </row>
    <row r="1044" spans="17:17">
      <c r="Q1044">
        <v>6058456.7635137849</v>
      </c>
    </row>
    <row r="1045" spans="17:17">
      <c r="Q1045">
        <v>2264457.4427944985</v>
      </c>
    </row>
    <row r="1046" spans="17:17">
      <c r="Q1046">
        <v>1763199.436332834</v>
      </c>
    </row>
    <row r="1047" spans="17:17">
      <c r="Q1047">
        <v>1636183.3437227954</v>
      </c>
    </row>
    <row r="1048" spans="17:17">
      <c r="Q1048">
        <v>2065469.3719590886</v>
      </c>
    </row>
    <row r="1049" spans="17:17">
      <c r="Q1049">
        <v>3778419.1282568695</v>
      </c>
    </row>
    <row r="1050" spans="17:17">
      <c r="Q1050">
        <v>7655754.7463722415</v>
      </c>
    </row>
    <row r="1051" spans="17:17">
      <c r="Q1051">
        <v>14144682.492157608</v>
      </c>
    </row>
    <row r="1052" spans="17:17">
      <c r="Q1052">
        <v>3769720.7603939301</v>
      </c>
    </row>
    <row r="1053" spans="17:17">
      <c r="Q1053">
        <v>4955050.3897416685</v>
      </c>
    </row>
    <row r="1054" spans="17:17">
      <c r="Q1054">
        <v>3739389.5353564159</v>
      </c>
    </row>
    <row r="1055" spans="17:17">
      <c r="Q1055">
        <v>5233531.8475805335</v>
      </c>
    </row>
    <row r="1056" spans="17:17">
      <c r="Q1056">
        <v>13108437.804831507</v>
      </c>
    </row>
    <row r="1057" spans="17:17">
      <c r="Q1057">
        <v>1020875.3240306056</v>
      </c>
    </row>
    <row r="1058" spans="17:17">
      <c r="Q1058">
        <v>2991507.7541940892</v>
      </c>
    </row>
  </sheetData>
  <sortState xmlns:xlrd2="http://schemas.microsoft.com/office/spreadsheetml/2017/richdata2" ref="V54:V58">
    <sortCondition ref="V5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ootstrap">
                <anchor moveWithCells="1">
                  <from>
                    <xdr:col>14</xdr:col>
                    <xdr:colOff>266700</xdr:colOff>
                    <xdr:row>52</xdr:row>
                    <xdr:rowOff>171450</xdr:rowOff>
                  </from>
                  <to>
                    <xdr:col>14</xdr:col>
                    <xdr:colOff>819150</xdr:colOff>
                    <xdr:row>54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D51"/>
  <sheetViews>
    <sheetView workbookViewId="0">
      <selection activeCell="D22" sqref="D22"/>
    </sheetView>
  </sheetViews>
  <sheetFormatPr defaultRowHeight="15"/>
  <sheetData>
    <row r="1" spans="1:4">
      <c r="A1" t="s">
        <v>3</v>
      </c>
      <c r="B1" t="s">
        <v>109</v>
      </c>
      <c r="C1" t="s">
        <v>110</v>
      </c>
      <c r="D1" t="s">
        <v>111</v>
      </c>
    </row>
    <row r="2" spans="1:4">
      <c r="A2">
        <v>25</v>
      </c>
      <c r="B2">
        <v>2000</v>
      </c>
      <c r="C2">
        <v>1320.3405718209551</v>
      </c>
      <c r="D2">
        <v>871.64961279824377</v>
      </c>
    </row>
    <row r="3" spans="1:4">
      <c r="A3">
        <v>26</v>
      </c>
      <c r="B3">
        <v>2084.8000000000002</v>
      </c>
      <c r="C3">
        <v>1376.3230120661638</v>
      </c>
      <c r="D3">
        <v>908.60755638088926</v>
      </c>
    </row>
    <row r="4" spans="1:4">
      <c r="A4">
        <v>27</v>
      </c>
      <c r="B4">
        <v>2173.1955200000002</v>
      </c>
      <c r="C4">
        <v>1434.6791077777691</v>
      </c>
      <c r="D4">
        <v>947.13251677143899</v>
      </c>
    </row>
    <row r="5" spans="1:4">
      <c r="A5">
        <v>28</v>
      </c>
      <c r="B5">
        <v>2265.3390100480001</v>
      </c>
      <c r="C5">
        <v>1495.5095019475464</v>
      </c>
      <c r="D5">
        <v>987.29093548254798</v>
      </c>
    </row>
    <row r="6" spans="1:4">
      <c r="A6">
        <v>29</v>
      </c>
      <c r="B6">
        <v>2361.3893840740352</v>
      </c>
      <c r="C6">
        <v>1558.9191048301225</v>
      </c>
      <c r="D6">
        <v>1029.152071147008</v>
      </c>
    </row>
    <row r="7" spans="1:4">
      <c r="A7">
        <v>30</v>
      </c>
      <c r="B7">
        <v>2461.5122939587741</v>
      </c>
      <c r="C7">
        <v>1625.0172748749196</v>
      </c>
      <c r="D7">
        <v>1072.788118963641</v>
      </c>
    </row>
    <row r="8" spans="1:4">
      <c r="A8">
        <v>31</v>
      </c>
      <c r="B8">
        <v>2565.8804152226262</v>
      </c>
      <c r="C8">
        <v>1693.9180073296163</v>
      </c>
      <c r="D8">
        <v>1118.2743352076993</v>
      </c>
    </row>
    <row r="9" spans="1:4">
      <c r="A9">
        <v>32</v>
      </c>
      <c r="B9">
        <v>2674.6737448280655</v>
      </c>
      <c r="C9">
        <v>1765.7401308403921</v>
      </c>
      <c r="D9">
        <v>1165.6891670205057</v>
      </c>
    </row>
    <row r="10" spans="1:4">
      <c r="A10">
        <v>33</v>
      </c>
      <c r="B10">
        <v>2788.0799116087751</v>
      </c>
      <c r="C10">
        <v>1840.6075123880248</v>
      </c>
      <c r="D10">
        <v>1215.1143877021752</v>
      </c>
    </row>
    <row r="11" spans="1:4">
      <c r="A11">
        <v>34</v>
      </c>
      <c r="B11">
        <v>2906.2944998609873</v>
      </c>
      <c r="C11">
        <v>1918.649270913277</v>
      </c>
      <c r="D11">
        <v>1266.6352377407475</v>
      </c>
    </row>
    <row r="12" spans="1:4">
      <c r="A12">
        <v>35</v>
      </c>
      <c r="B12">
        <v>3786.9017333188672</v>
      </c>
      <c r="C12">
        <v>2500</v>
      </c>
      <c r="D12">
        <v>1650.4257147761939</v>
      </c>
    </row>
    <row r="13" spans="1:4">
      <c r="A13">
        <v>36</v>
      </c>
      <c r="B13">
        <v>3947.4663668115872</v>
      </c>
      <c r="C13">
        <v>2606</v>
      </c>
      <c r="D13">
        <v>1720.4037650827047</v>
      </c>
    </row>
    <row r="14" spans="1:4">
      <c r="A14">
        <v>37</v>
      </c>
      <c r="B14">
        <v>4114.8389407643981</v>
      </c>
      <c r="C14">
        <v>2716.4944</v>
      </c>
      <c r="D14">
        <v>1793.3488847222116</v>
      </c>
    </row>
    <row r="15" spans="1:4">
      <c r="A15">
        <v>38</v>
      </c>
      <c r="B15">
        <v>4289.3081118528089</v>
      </c>
      <c r="C15">
        <v>2831.6737625599999</v>
      </c>
      <c r="D15">
        <v>1869.386877434433</v>
      </c>
    </row>
    <row r="16" spans="1:4">
      <c r="A16">
        <v>39</v>
      </c>
      <c r="B16">
        <v>4471.1747757953681</v>
      </c>
      <c r="C16">
        <v>2951.7367300925439</v>
      </c>
      <c r="D16">
        <v>1948.6488810376532</v>
      </c>
    </row>
    <row r="17" spans="1:4">
      <c r="A17">
        <v>40</v>
      </c>
      <c r="B17">
        <v>4660.7525862890916</v>
      </c>
      <c r="C17">
        <v>3076.8903674484682</v>
      </c>
      <c r="D17">
        <v>2031.2715935936496</v>
      </c>
    </row>
    <row r="18" spans="1:4">
      <c r="A18">
        <v>41</v>
      </c>
      <c r="B18">
        <v>4858.3684959477496</v>
      </c>
      <c r="C18">
        <v>3207.3505190282831</v>
      </c>
      <c r="D18">
        <v>2117.3975091620205</v>
      </c>
    </row>
    <row r="19" spans="1:4">
      <c r="A19">
        <v>42</v>
      </c>
      <c r="B19">
        <v>5064.3633201759339</v>
      </c>
      <c r="C19">
        <v>3343.3421810350819</v>
      </c>
      <c r="D19">
        <v>2207.1751635504902</v>
      </c>
    </row>
    <row r="20" spans="1:4">
      <c r="A20">
        <v>43</v>
      </c>
      <c r="B20">
        <v>5279.0923249513944</v>
      </c>
      <c r="C20">
        <v>3485.0998895109692</v>
      </c>
      <c r="D20">
        <v>2300.759390485031</v>
      </c>
    </row>
    <row r="21" spans="1:4">
      <c r="A21">
        <v>44</v>
      </c>
      <c r="B21">
        <v>5502.9258395293327</v>
      </c>
      <c r="C21">
        <v>3632.8681248262346</v>
      </c>
      <c r="D21">
        <v>2398.3115886415962</v>
      </c>
    </row>
    <row r="22" spans="1:4">
      <c r="A22">
        <v>45</v>
      </c>
      <c r="B22">
        <v>6883.4998741504514</v>
      </c>
      <c r="C22">
        <v>4544.2820799826404</v>
      </c>
      <c r="D22">
        <v>3000</v>
      </c>
    </row>
    <row r="23" spans="1:4">
      <c r="A23">
        <v>46</v>
      </c>
      <c r="B23">
        <v>7175.3602688144301</v>
      </c>
      <c r="C23">
        <v>4736.9596401739045</v>
      </c>
      <c r="D23">
        <v>3127.2</v>
      </c>
    </row>
    <row r="24" spans="1:4">
      <c r="A24">
        <v>47</v>
      </c>
      <c r="B24">
        <v>7479.5955442121622</v>
      </c>
      <c r="C24">
        <v>4937.8067289172777</v>
      </c>
      <c r="D24">
        <v>3259.7932799999999</v>
      </c>
    </row>
    <row r="25" spans="1:4">
      <c r="A25">
        <v>48</v>
      </c>
      <c r="B25">
        <v>7796.7303952867578</v>
      </c>
      <c r="C25">
        <v>5147.1697342233711</v>
      </c>
      <c r="D25">
        <v>3398.0085150719997</v>
      </c>
    </row>
    <row r="26" spans="1:4">
      <c r="A26">
        <v>49</v>
      </c>
      <c r="B26">
        <v>8127.3117640469172</v>
      </c>
      <c r="C26">
        <v>5365.4097309544413</v>
      </c>
      <c r="D26">
        <v>3542.0840761110526</v>
      </c>
    </row>
    <row r="27" spans="1:4">
      <c r="A27">
        <v>50</v>
      </c>
      <c r="B27">
        <v>8471.9097828425056</v>
      </c>
      <c r="C27">
        <v>5592.9031035469097</v>
      </c>
      <c r="D27">
        <v>3692.2684409381613</v>
      </c>
    </row>
    <row r="28" spans="1:4">
      <c r="A28">
        <v>51</v>
      </c>
      <c r="B28">
        <v>8831.1187576350276</v>
      </c>
      <c r="C28">
        <v>5830.0421951372982</v>
      </c>
      <c r="D28">
        <v>3848.8206228339391</v>
      </c>
    </row>
    <row r="29" spans="1:4">
      <c r="A29">
        <v>52</v>
      </c>
      <c r="B29">
        <v>9205.5581929587534</v>
      </c>
      <c r="C29">
        <v>6077.23598421112</v>
      </c>
      <c r="D29">
        <v>4012.0106172420979</v>
      </c>
    </row>
    <row r="30" spans="1:4">
      <c r="A30">
        <v>53</v>
      </c>
      <c r="B30">
        <v>9595.8738603402053</v>
      </c>
      <c r="C30">
        <v>6334.9107899416722</v>
      </c>
      <c r="D30">
        <v>4182.1198674131629</v>
      </c>
    </row>
    <row r="31" spans="1:4">
      <c r="A31">
        <v>54</v>
      </c>
      <c r="B31">
        <v>10002.738912018631</v>
      </c>
      <c r="C31">
        <v>6603.5110074351987</v>
      </c>
      <c r="D31">
        <v>4359.441749791481</v>
      </c>
    </row>
    <row r="32" spans="1:4">
      <c r="A32">
        <v>55</v>
      </c>
      <c r="B32">
        <v>12164.664215536261</v>
      </c>
      <c r="C32">
        <v>8030.7498531755282</v>
      </c>
      <c r="D32">
        <v>5301.6624266464141</v>
      </c>
    </row>
    <row r="33" spans="1:4">
      <c r="A33">
        <v>56</v>
      </c>
      <c r="B33">
        <v>12680.445978274998</v>
      </c>
      <c r="C33">
        <v>8371.2536469501702</v>
      </c>
      <c r="D33">
        <v>5526.4529135362227</v>
      </c>
    </row>
    <row r="34" spans="1:4">
      <c r="A34">
        <v>57</v>
      </c>
      <c r="B34">
        <v>13218.096887753856</v>
      </c>
      <c r="C34">
        <v>8726.1948015808575</v>
      </c>
      <c r="D34">
        <v>5760.7745170701583</v>
      </c>
    </row>
    <row r="35" spans="1:4">
      <c r="A35">
        <v>58</v>
      </c>
      <c r="B35">
        <v>13778.54419579462</v>
      </c>
      <c r="C35">
        <v>9096.1854611678846</v>
      </c>
      <c r="D35">
        <v>6005.0313565939332</v>
      </c>
    </row>
    <row r="36" spans="1:4">
      <c r="A36">
        <v>59</v>
      </c>
      <c r="B36">
        <v>14362.754469696314</v>
      </c>
      <c r="C36">
        <v>9481.8637247214047</v>
      </c>
      <c r="D36">
        <v>6259.6446861135155</v>
      </c>
    </row>
    <row r="37" spans="1:4">
      <c r="A37">
        <v>60</v>
      </c>
      <c r="B37">
        <v>14971.735259211438</v>
      </c>
      <c r="C37">
        <v>9883.894746649592</v>
      </c>
      <c r="D37">
        <v>6525.0536208047288</v>
      </c>
    </row>
    <row r="38" spans="1:4">
      <c r="A38">
        <v>61</v>
      </c>
      <c r="B38">
        <v>15606.536834202003</v>
      </c>
      <c r="C38">
        <v>10302.971883907534</v>
      </c>
      <c r="D38">
        <v>6801.7158943268496</v>
      </c>
    </row>
    <row r="39" spans="1:4">
      <c r="A39">
        <v>62</v>
      </c>
      <c r="B39">
        <v>16268.253995972167</v>
      </c>
      <c r="C39">
        <v>10739.817891785215</v>
      </c>
      <c r="D39">
        <v>7090.1086482463079</v>
      </c>
    </row>
    <row r="40" spans="1:4">
      <c r="A40">
        <v>63</v>
      </c>
      <c r="B40">
        <v>16958.027965401387</v>
      </c>
      <c r="C40">
        <v>11195.186170396908</v>
      </c>
      <c r="D40">
        <v>7390.7292549319518</v>
      </c>
    </row>
    <row r="41" spans="1:4">
      <c r="A41">
        <v>64</v>
      </c>
      <c r="B41">
        <v>17677.048351134406</v>
      </c>
      <c r="C41">
        <v>11669.862064021738</v>
      </c>
      <c r="D41">
        <v>7704.0961753410666</v>
      </c>
    </row>
    <row r="42" spans="1:4">
      <c r="A42">
        <v>65</v>
      </c>
      <c r="B42">
        <v>21058.920229968578</v>
      </c>
      <c r="C42">
        <v>13902.473389184295</v>
      </c>
      <c r="D42">
        <v>9177.9998322006031</v>
      </c>
    </row>
    <row r="43" spans="1:4">
      <c r="A43">
        <v>66</v>
      </c>
      <c r="B43">
        <v>21951.818447719244</v>
      </c>
      <c r="C43">
        <v>14491.93826088571</v>
      </c>
      <c r="D43">
        <v>9567.1470250859074</v>
      </c>
    </row>
    <row r="44" spans="1:4">
      <c r="A44">
        <v>67</v>
      </c>
      <c r="B44">
        <v>22882.57554990254</v>
      </c>
      <c r="C44">
        <v>15106.396443147263</v>
      </c>
      <c r="D44">
        <v>9972.7940589495502</v>
      </c>
    </row>
    <row r="45" spans="1:4">
      <c r="A45">
        <v>68</v>
      </c>
      <c r="B45">
        <v>23852.796753218408</v>
      </c>
      <c r="C45">
        <v>15746.907652336709</v>
      </c>
      <c r="D45">
        <v>10395.64052704901</v>
      </c>
    </row>
    <row r="46" spans="1:4">
      <c r="A46">
        <v>69</v>
      </c>
      <c r="B46">
        <v>24864.155335554868</v>
      </c>
      <c r="C46">
        <v>16414.576536795787</v>
      </c>
      <c r="D46">
        <v>10836.41568539589</v>
      </c>
    </row>
    <row r="47" spans="1:4">
      <c r="A47">
        <v>70</v>
      </c>
      <c r="B47">
        <v>25918.395521782397</v>
      </c>
      <c r="C47">
        <v>17110.554581955927</v>
      </c>
      <c r="D47">
        <v>11295.879710456675</v>
      </c>
    </row>
    <row r="48" spans="1:4">
      <c r="A48">
        <v>71</v>
      </c>
      <c r="B48">
        <v>27017.335491905968</v>
      </c>
      <c r="C48">
        <v>17836.04209623086</v>
      </c>
      <c r="D48">
        <v>11774.825010180039</v>
      </c>
    </row>
    <row r="49" spans="1:4">
      <c r="A49">
        <v>72</v>
      </c>
      <c r="B49">
        <v>28162.870516762781</v>
      </c>
      <c r="C49">
        <v>18592.290281111047</v>
      </c>
      <c r="D49">
        <v>12274.077590611672</v>
      </c>
    </row>
    <row r="50" spans="1:4">
      <c r="A50">
        <v>73</v>
      </c>
      <c r="B50">
        <v>29356.976226673523</v>
      </c>
      <c r="C50">
        <v>19380.603389030155</v>
      </c>
      <c r="D50">
        <v>12794.498480453607</v>
      </c>
    </row>
    <row r="51" spans="1:4">
      <c r="A51">
        <v>74</v>
      </c>
      <c r="B51">
        <v>30601.71201868448</v>
      </c>
      <c r="C51">
        <v>20202.340972725036</v>
      </c>
      <c r="D51">
        <v>13336.985216024841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9"/>
  <sheetViews>
    <sheetView tabSelected="1" workbookViewId="0">
      <selection activeCell="M21" sqref="M21"/>
    </sheetView>
  </sheetViews>
  <sheetFormatPr defaultRowHeight="15"/>
  <sheetData>
    <row r="1" spans="1:1">
      <c r="A1" s="136" t="s">
        <v>63</v>
      </c>
    </row>
    <row r="2" spans="1:1">
      <c r="A2" s="137" t="s">
        <v>64</v>
      </c>
    </row>
    <row r="3" spans="1:1">
      <c r="A3" s="136" t="s">
        <v>65</v>
      </c>
    </row>
    <row r="4" spans="1:1">
      <c r="A4" s="136" t="s">
        <v>66</v>
      </c>
    </row>
    <row r="5" spans="1:1">
      <c r="A5" s="136" t="s">
        <v>67</v>
      </c>
    </row>
    <row r="6" spans="1:1">
      <c r="A6" s="136" t="s">
        <v>68</v>
      </c>
    </row>
    <row r="8" spans="1:1">
      <c r="A8" s="136" t="s">
        <v>135</v>
      </c>
    </row>
    <row r="9" spans="1:1">
      <c r="A9" s="136" t="s">
        <v>136</v>
      </c>
    </row>
  </sheetData>
  <hyperlinks>
    <hyperlink ref="A1" r:id="rId1" xr:uid="{08E60353-32B9-4A8B-9192-705D6331DCBD}"/>
    <hyperlink ref="A2" r:id="rId2" xr:uid="{E8367D79-095D-4646-AD36-93CFC885909A}"/>
    <hyperlink ref="A3" r:id="rId3" xr:uid="{84BB2FAA-21B5-44D6-8556-B9F54A288F62}"/>
    <hyperlink ref="A4" r:id="rId4" xr:uid="{E991B0BD-1CE3-4E16-B042-C9F0AF37655B}"/>
    <hyperlink ref="A5" r:id="rId5" xr:uid="{C6819C29-06A0-4B89-B924-5BDEE5EA35CF}"/>
    <hyperlink ref="A6" r:id="rId6" xr:uid="{4E571A3F-12FE-43C3-99DE-2F0D0D5B281C}"/>
    <hyperlink ref="A8" r:id="rId7" xr:uid="{B9F0FFAF-9ED9-4DCC-BAFF-3A105DE5E13C}"/>
    <hyperlink ref="A9" r:id="rId8" xr:uid="{D73D7DBF-960F-410B-9AE0-9605EF36995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"/>
  <dimension ref="A1:O65"/>
  <sheetViews>
    <sheetView workbookViewId="0">
      <selection activeCell="K35" sqref="K35"/>
    </sheetView>
  </sheetViews>
  <sheetFormatPr defaultRowHeight="15"/>
  <cols>
    <col min="1" max="1" width="25" customWidth="1"/>
    <col min="2" max="2" width="18.5703125" customWidth="1"/>
    <col min="3" max="3" width="14.7109375" customWidth="1"/>
    <col min="4" max="4" width="14" customWidth="1"/>
    <col min="5" max="5" width="15.7109375" customWidth="1"/>
    <col min="6" max="6" width="15.42578125" customWidth="1"/>
    <col min="7" max="7" width="6.28515625" customWidth="1"/>
    <col min="8" max="8" width="6" customWidth="1"/>
    <col min="9" max="9" width="4.7109375" customWidth="1"/>
    <col min="10" max="10" width="5.42578125" customWidth="1"/>
    <col min="11" max="11" width="12.5703125" bestFit="1" customWidth="1"/>
    <col min="12" max="12" width="11.5703125" bestFit="1" customWidth="1"/>
    <col min="13" max="13" width="13.5703125" customWidth="1"/>
    <col min="15" max="15" width="14.28515625" customWidth="1"/>
  </cols>
  <sheetData>
    <row r="1" spans="1:15">
      <c r="A1" s="2" t="s">
        <v>26</v>
      </c>
    </row>
    <row r="3" spans="1:15">
      <c r="A3" s="2" t="s">
        <v>0</v>
      </c>
      <c r="B3">
        <v>0.09</v>
      </c>
      <c r="C3" s="2" t="s">
        <v>27</v>
      </c>
      <c r="K3" s="2" t="s">
        <v>17</v>
      </c>
      <c r="O3" s="2" t="s">
        <v>19</v>
      </c>
    </row>
    <row r="4" spans="1:15">
      <c r="A4" s="2" t="s">
        <v>1</v>
      </c>
      <c r="B4">
        <v>0</v>
      </c>
      <c r="O4" s="2"/>
    </row>
    <row r="5" spans="1:15">
      <c r="A5" s="2"/>
      <c r="K5" t="s">
        <v>2</v>
      </c>
      <c r="L5" t="s">
        <v>15</v>
      </c>
      <c r="M5" t="s">
        <v>16</v>
      </c>
      <c r="O5" s="32">
        <f>AVERAGE(K31:K35)*30*B22*F27</f>
        <v>679915.2838322951</v>
      </c>
    </row>
    <row r="6" spans="1:15">
      <c r="A6" s="2" t="s">
        <v>2</v>
      </c>
      <c r="B6">
        <v>100000</v>
      </c>
      <c r="J6">
        <v>25</v>
      </c>
      <c r="K6" s="1">
        <f>B6</f>
        <v>100000</v>
      </c>
      <c r="L6" s="1">
        <f>$B$3*K6</f>
        <v>9000</v>
      </c>
      <c r="M6" s="1">
        <f>L6*(1+$B$10)^(54-J6)</f>
        <v>24406.901780022843</v>
      </c>
    </row>
    <row r="7" spans="1:15">
      <c r="A7" s="2" t="s">
        <v>5</v>
      </c>
      <c r="B7">
        <v>0.03</v>
      </c>
      <c r="J7">
        <f>J6+1</f>
        <v>26</v>
      </c>
      <c r="K7" s="1">
        <f>K6*(1+$B$7)</f>
        <v>103000</v>
      </c>
      <c r="L7" s="1">
        <f>$B$3*K7</f>
        <v>9270</v>
      </c>
      <c r="M7" s="1">
        <f>L7*(1+$B$10)^(54-J7)</f>
        <v>24288.994041955106</v>
      </c>
    </row>
    <row r="8" spans="1:15">
      <c r="A8" s="2" t="s">
        <v>6</v>
      </c>
      <c r="B8">
        <f>(1+B7)/(1+B10)</f>
        <v>0.99516908212560395</v>
      </c>
      <c r="C8" s="2" t="s">
        <v>28</v>
      </c>
      <c r="J8">
        <f t="shared" ref="J8:J31" si="0">J7+1</f>
        <v>27</v>
      </c>
      <c r="K8" s="1">
        <f t="shared" ref="K8:K31" si="1">K7*(1+$B$7)</f>
        <v>106090</v>
      </c>
      <c r="L8" s="1">
        <f t="shared" ref="L8:L35" si="2">$B$3*K8</f>
        <v>9548.1</v>
      </c>
      <c r="M8" s="1">
        <f t="shared" ref="M8:M31" si="3">L8*(1+$B$10)^(54-J8)</f>
        <v>24171.655906486725</v>
      </c>
    </row>
    <row r="9" spans="1:15">
      <c r="A9" s="2"/>
      <c r="J9">
        <f t="shared" si="0"/>
        <v>28</v>
      </c>
      <c r="K9" s="1">
        <f t="shared" si="1"/>
        <v>109272.7</v>
      </c>
      <c r="L9" s="1">
        <f t="shared" si="2"/>
        <v>9834.5429999999997</v>
      </c>
      <c r="M9" s="1">
        <f t="shared" si="3"/>
        <v>24054.884621914323</v>
      </c>
    </row>
    <row r="10" spans="1:15">
      <c r="A10" s="2" t="s">
        <v>4</v>
      </c>
      <c r="B10">
        <v>3.5000000000000003E-2</v>
      </c>
      <c r="C10" s="2" t="s">
        <v>27</v>
      </c>
      <c r="J10">
        <f t="shared" si="0"/>
        <v>29</v>
      </c>
      <c r="K10" s="1">
        <f t="shared" si="1"/>
        <v>112550.88099999999</v>
      </c>
      <c r="L10" s="1">
        <f t="shared" si="2"/>
        <v>10129.57929</v>
      </c>
      <c r="M10" s="1">
        <f t="shared" si="3"/>
        <v>23938.677449827781</v>
      </c>
    </row>
    <row r="11" spans="1:15" ht="15.75" thickBot="1">
      <c r="J11">
        <f t="shared" si="0"/>
        <v>30</v>
      </c>
      <c r="K11" s="1">
        <f t="shared" si="1"/>
        <v>115927.40742999999</v>
      </c>
      <c r="L11" s="1">
        <f t="shared" si="2"/>
        <v>10433.466668699999</v>
      </c>
      <c r="M11" s="1">
        <f t="shared" si="3"/>
        <v>23823.031665046004</v>
      </c>
    </row>
    <row r="12" spans="1:15">
      <c r="A12" s="24" t="s">
        <v>21</v>
      </c>
      <c r="B12" s="25" t="s">
        <v>7</v>
      </c>
      <c r="C12" s="12"/>
      <c r="D12" s="12"/>
      <c r="E12" s="12"/>
      <c r="F12" s="13"/>
      <c r="J12">
        <f t="shared" si="0"/>
        <v>31</v>
      </c>
      <c r="K12" s="1">
        <f t="shared" si="1"/>
        <v>119405.2296529</v>
      </c>
      <c r="L12" s="1">
        <f t="shared" si="2"/>
        <v>10746.470668761</v>
      </c>
      <c r="M12" s="1">
        <f t="shared" si="3"/>
        <v>23707.944555553036</v>
      </c>
    </row>
    <row r="13" spans="1:15">
      <c r="A13" s="17" t="s">
        <v>14</v>
      </c>
      <c r="F13" s="15"/>
      <c r="J13">
        <f t="shared" si="0"/>
        <v>32</v>
      </c>
      <c r="K13" s="1">
        <f t="shared" si="1"/>
        <v>122987.386542487</v>
      </c>
      <c r="L13" s="1">
        <f t="shared" si="2"/>
        <v>11068.86478882383</v>
      </c>
      <c r="M13" s="1">
        <f t="shared" si="3"/>
        <v>23593.413422434423</v>
      </c>
    </row>
    <row r="14" spans="1:15">
      <c r="A14" s="18" t="s">
        <v>3</v>
      </c>
      <c r="B14" s="2">
        <v>25</v>
      </c>
      <c r="C14" s="2">
        <v>35</v>
      </c>
      <c r="D14" s="2">
        <v>45</v>
      </c>
      <c r="E14" s="2">
        <v>55</v>
      </c>
      <c r="F14" s="15"/>
      <c r="G14" s="3"/>
      <c r="H14" s="3"/>
      <c r="I14" s="3"/>
      <c r="J14">
        <f t="shared" si="0"/>
        <v>33</v>
      </c>
      <c r="K14" s="1">
        <f t="shared" si="1"/>
        <v>126677.00813876161</v>
      </c>
      <c r="L14" s="1">
        <f t="shared" si="2"/>
        <v>11400.930732488545</v>
      </c>
      <c r="M14" s="1">
        <f t="shared" si="3"/>
        <v>23479.435579813966</v>
      </c>
    </row>
    <row r="15" spans="1:15">
      <c r="A15" s="16">
        <v>55</v>
      </c>
      <c r="B15" s="29">
        <f t="shared" ref="B15:E17" si="4">$B$6*$B$3*((1-$B$8^($A15-B$14))/(1-$B$8))*((1+$B$10)^($A15-B$14-1))</f>
        <v>683156.22032334842</v>
      </c>
      <c r="C15" s="1">
        <f t="shared" si="4"/>
        <v>330619.7318335764</v>
      </c>
      <c r="D15" s="29">
        <f t="shared" si="4"/>
        <v>120028.28629860003</v>
      </c>
      <c r="E15" s="1">
        <f t="shared" si="4"/>
        <v>0</v>
      </c>
      <c r="F15" s="15"/>
      <c r="G15" s="3"/>
      <c r="H15" s="3"/>
      <c r="I15" s="3"/>
      <c r="J15">
        <f t="shared" si="0"/>
        <v>34</v>
      </c>
      <c r="K15" s="1">
        <f t="shared" si="1"/>
        <v>130477.31838292447</v>
      </c>
      <c r="L15" s="1">
        <f t="shared" si="2"/>
        <v>11742.958654463202</v>
      </c>
      <c r="M15" s="1">
        <f t="shared" si="3"/>
        <v>23366.008354790716</v>
      </c>
    </row>
    <row r="16" spans="1:15">
      <c r="A16" s="16">
        <v>65</v>
      </c>
      <c r="B16" s="1">
        <f t="shared" si="4"/>
        <v>1254999.4725125255</v>
      </c>
      <c r="C16" s="1">
        <f t="shared" si="4"/>
        <v>683156.22032334842</v>
      </c>
      <c r="D16" s="1">
        <f t="shared" si="4"/>
        <v>330619.7318335764</v>
      </c>
      <c r="E16" s="1">
        <f t="shared" si="4"/>
        <v>120028.28629860003</v>
      </c>
      <c r="F16" s="15"/>
      <c r="G16" s="4"/>
      <c r="H16" s="3"/>
      <c r="I16" s="3"/>
      <c r="J16">
        <f t="shared" si="0"/>
        <v>35</v>
      </c>
      <c r="K16" s="1">
        <f t="shared" si="1"/>
        <v>134391.6379344122</v>
      </c>
      <c r="L16" s="1">
        <f t="shared" si="2"/>
        <v>12095.247414097097</v>
      </c>
      <c r="M16" s="1">
        <f t="shared" si="3"/>
        <v>23253.12908737627</v>
      </c>
    </row>
    <row r="17" spans="1:13">
      <c r="A17" s="16">
        <v>75</v>
      </c>
      <c r="B17" s="1">
        <f t="shared" si="4"/>
        <v>2161837.5065212469</v>
      </c>
      <c r="C17" s="29">
        <f t="shared" si="4"/>
        <v>1254999.4725125255</v>
      </c>
      <c r="D17" s="1">
        <f t="shared" si="4"/>
        <v>683156.22032334842</v>
      </c>
      <c r="E17" s="1">
        <f t="shared" si="4"/>
        <v>330619.7318335764</v>
      </c>
      <c r="F17" s="15"/>
      <c r="G17" s="4"/>
      <c r="H17" s="3"/>
      <c r="I17" s="3"/>
      <c r="J17">
        <f t="shared" si="0"/>
        <v>36</v>
      </c>
      <c r="K17" s="1">
        <f t="shared" si="1"/>
        <v>138423.38707244457</v>
      </c>
      <c r="L17" s="1">
        <f t="shared" si="2"/>
        <v>12458.104836520011</v>
      </c>
      <c r="M17" s="1">
        <f t="shared" si="3"/>
        <v>23140.795130432427</v>
      </c>
    </row>
    <row r="18" spans="1:13">
      <c r="A18" s="14"/>
      <c r="B18" s="1"/>
      <c r="C18" s="1"/>
      <c r="D18" s="1"/>
      <c r="E18" s="1"/>
      <c r="F18" s="15"/>
      <c r="G18" s="3"/>
      <c r="H18" s="3"/>
      <c r="I18" s="3"/>
      <c r="J18">
        <f t="shared" si="0"/>
        <v>37</v>
      </c>
      <c r="K18" s="1">
        <f t="shared" si="1"/>
        <v>142576.08868461792</v>
      </c>
      <c r="L18" s="1">
        <f t="shared" si="2"/>
        <v>12831.847981615612</v>
      </c>
      <c r="M18" s="1">
        <f t="shared" si="3"/>
        <v>23029.003849609086</v>
      </c>
    </row>
    <row r="19" spans="1:13">
      <c r="A19" s="14"/>
      <c r="F19" s="15"/>
      <c r="G19" s="3"/>
      <c r="H19" s="3"/>
      <c r="I19" s="3"/>
      <c r="J19">
        <f t="shared" si="0"/>
        <v>38</v>
      </c>
      <c r="K19" s="1">
        <f t="shared" si="1"/>
        <v>146853.37134515645</v>
      </c>
      <c r="L19" s="1">
        <f t="shared" si="2"/>
        <v>13216.80342106408</v>
      </c>
      <c r="M19" s="1">
        <f t="shared" si="3"/>
        <v>22917.752623282471</v>
      </c>
    </row>
    <row r="20" spans="1:13">
      <c r="A20" s="16" t="s">
        <v>24</v>
      </c>
      <c r="F20" s="15"/>
      <c r="G20" s="3"/>
      <c r="H20" s="3"/>
      <c r="I20" s="3"/>
      <c r="J20">
        <f t="shared" si="0"/>
        <v>39</v>
      </c>
      <c r="K20" s="1">
        <f t="shared" si="1"/>
        <v>151258.97248551116</v>
      </c>
      <c r="L20" s="1">
        <f t="shared" si="2"/>
        <v>13613.307523696003</v>
      </c>
      <c r="M20" s="1">
        <f t="shared" si="3"/>
        <v>22807.038842493672</v>
      </c>
    </row>
    <row r="21" spans="1:13">
      <c r="A21" s="14"/>
      <c r="F21" s="15"/>
      <c r="G21" s="3"/>
      <c r="H21" s="3"/>
      <c r="I21" s="3"/>
      <c r="J21">
        <f t="shared" si="0"/>
        <v>40</v>
      </c>
      <c r="K21" s="1">
        <f t="shared" si="1"/>
        <v>155796.74166007648</v>
      </c>
      <c r="L21" s="1">
        <f t="shared" si="2"/>
        <v>14021.706749406883</v>
      </c>
      <c r="M21" s="1">
        <f t="shared" si="3"/>
        <v>22696.859910887426</v>
      </c>
    </row>
    <row r="22" spans="1:13">
      <c r="A22" s="17" t="s">
        <v>25</v>
      </c>
      <c r="B22" s="28">
        <v>1.4999999999999999E-2</v>
      </c>
      <c r="F22" s="15"/>
      <c r="G22" s="3"/>
      <c r="H22" s="3"/>
      <c r="I22" s="3"/>
      <c r="J22">
        <f t="shared" si="0"/>
        <v>41</v>
      </c>
      <c r="K22" s="1">
        <f t="shared" si="1"/>
        <v>160470.6439098788</v>
      </c>
      <c r="L22" s="1">
        <f t="shared" si="2"/>
        <v>14442.357951889091</v>
      </c>
      <c r="M22" s="1">
        <f t="shared" si="3"/>
        <v>22587.213244651255</v>
      </c>
    </row>
    <row r="23" spans="1:13">
      <c r="A23" s="14"/>
      <c r="F23" s="15"/>
      <c r="G23" s="3"/>
      <c r="H23" s="3"/>
      <c r="I23" s="3"/>
      <c r="J23">
        <f t="shared" si="0"/>
        <v>42</v>
      </c>
      <c r="K23" s="1">
        <f t="shared" si="1"/>
        <v>165284.76322717516</v>
      </c>
      <c r="L23" s="1">
        <f t="shared" si="2"/>
        <v>14875.628690445765</v>
      </c>
      <c r="M23" s="1">
        <f t="shared" si="3"/>
        <v>22478.096272454877</v>
      </c>
    </row>
    <row r="24" spans="1:13">
      <c r="A24" s="14"/>
      <c r="B24" s="2" t="s">
        <v>7</v>
      </c>
      <c r="F24" s="15"/>
      <c r="G24" s="3"/>
      <c r="H24" s="3"/>
      <c r="I24" s="3"/>
      <c r="J24">
        <f t="shared" si="0"/>
        <v>43</v>
      </c>
      <c r="K24" s="1">
        <f t="shared" si="1"/>
        <v>170243.30612399042</v>
      </c>
      <c r="L24" s="1">
        <f t="shared" si="2"/>
        <v>15321.897551159138</v>
      </c>
      <c r="M24" s="1">
        <f t="shared" si="3"/>
        <v>22369.506435389882</v>
      </c>
    </row>
    <row r="25" spans="1:13">
      <c r="A25" s="17" t="s">
        <v>14</v>
      </c>
      <c r="B25" s="2">
        <v>25</v>
      </c>
      <c r="C25" s="2">
        <v>35</v>
      </c>
      <c r="D25" s="2">
        <v>45</v>
      </c>
      <c r="E25" s="2">
        <v>55</v>
      </c>
      <c r="F25" s="19" t="s">
        <v>8</v>
      </c>
      <c r="G25" s="3"/>
      <c r="H25" s="3"/>
      <c r="I25" s="3"/>
      <c r="J25">
        <f t="shared" si="0"/>
        <v>44</v>
      </c>
      <c r="K25" s="1">
        <f t="shared" si="1"/>
        <v>175350.60530771012</v>
      </c>
      <c r="L25" s="1">
        <f t="shared" si="2"/>
        <v>15781.554477693911</v>
      </c>
      <c r="M25" s="1">
        <f t="shared" si="3"/>
        <v>22261.441186909735</v>
      </c>
    </row>
    <row r="26" spans="1:13">
      <c r="A26" s="18" t="s">
        <v>3</v>
      </c>
      <c r="F26" s="15"/>
      <c r="G26" s="3"/>
      <c r="H26" s="3"/>
      <c r="I26" s="3"/>
      <c r="J26">
        <f t="shared" si="0"/>
        <v>45</v>
      </c>
      <c r="K26" s="1">
        <f t="shared" si="1"/>
        <v>180611.12346694144</v>
      </c>
      <c r="L26" s="1">
        <f t="shared" si="2"/>
        <v>16255.001112024729</v>
      </c>
      <c r="M26" s="1">
        <f t="shared" si="3"/>
        <v>22153.897992770075</v>
      </c>
    </row>
    <row r="27" spans="1:13">
      <c r="A27" s="16">
        <v>55</v>
      </c>
      <c r="B27" s="31">
        <f t="shared" ref="B27:E29" si="5">($B$22*($A15-B$14)*$B$6*((1+$B$7)^($A15-B$14-5))*((1+$B$7)^5-1)/$B$7/5)*$F27</f>
        <v>679915.28383229382</v>
      </c>
      <c r="C27" s="1">
        <f t="shared" si="5"/>
        <v>337280.55022992648</v>
      </c>
      <c r="D27" s="31">
        <f t="shared" si="5"/>
        <v>125484.20251955374</v>
      </c>
      <c r="E27" s="1">
        <f t="shared" si="5"/>
        <v>0</v>
      </c>
      <c r="F27" s="33">
        <f>PPAfactors!D58</f>
        <v>6.7960699737564649</v>
      </c>
      <c r="G27" s="3"/>
      <c r="H27" s="3"/>
      <c r="I27" s="3"/>
      <c r="J27">
        <f t="shared" si="0"/>
        <v>46</v>
      </c>
      <c r="K27" s="1">
        <f t="shared" si="1"/>
        <v>186029.4571709497</v>
      </c>
      <c r="L27" s="1">
        <f t="shared" si="2"/>
        <v>16742.651145385473</v>
      </c>
      <c r="M27" s="1">
        <f t="shared" si="3"/>
        <v>22046.874330969258</v>
      </c>
    </row>
    <row r="28" spans="1:13">
      <c r="A28" s="16">
        <v>65</v>
      </c>
      <c r="B28" s="1">
        <f t="shared" si="5"/>
        <v>2166251.9313354092</v>
      </c>
      <c r="C28" s="1">
        <f t="shared" si="5"/>
        <v>1208921.1601799673</v>
      </c>
      <c r="D28" s="1">
        <f t="shared" si="5"/>
        <v>599700.58591986878</v>
      </c>
      <c r="E28" s="1">
        <f t="shared" si="5"/>
        <v>223116.77837148748</v>
      </c>
      <c r="F28" s="15">
        <f>PPAfactors!D68</f>
        <v>12.083730124478894</v>
      </c>
      <c r="G28" s="3"/>
      <c r="H28" s="3"/>
      <c r="I28" s="3"/>
      <c r="J28">
        <f t="shared" si="0"/>
        <v>47</v>
      </c>
      <c r="K28" s="1">
        <f t="shared" si="1"/>
        <v>191610.34088607819</v>
      </c>
      <c r="L28" s="1">
        <f t="shared" si="2"/>
        <v>17244.930679747038</v>
      </c>
      <c r="M28" s="1">
        <f t="shared" si="3"/>
        <v>21940.367691689222</v>
      </c>
    </row>
    <row r="29" spans="1:13">
      <c r="A29" s="16">
        <v>75</v>
      </c>
      <c r="B29" s="1">
        <f t="shared" si="5"/>
        <v>2657590.6527478253</v>
      </c>
      <c r="C29" s="31">
        <f t="shared" si="5"/>
        <v>1581997.6263968581</v>
      </c>
      <c r="D29" s="1">
        <f t="shared" si="5"/>
        <v>882866.10538722377</v>
      </c>
      <c r="E29" s="1">
        <f t="shared" si="5"/>
        <v>437956.86445813614</v>
      </c>
      <c r="F29" s="15">
        <f>PPAfactors!D78</f>
        <v>8.8246579718737017</v>
      </c>
      <c r="G29" s="3"/>
      <c r="H29" s="3"/>
      <c r="I29" s="3"/>
      <c r="J29">
        <f t="shared" si="0"/>
        <v>48</v>
      </c>
      <c r="K29" s="1">
        <f t="shared" si="1"/>
        <v>197358.65111266053</v>
      </c>
      <c r="L29" s="1">
        <f t="shared" si="2"/>
        <v>17762.278600139449</v>
      </c>
      <c r="M29" s="1">
        <f t="shared" si="3"/>
        <v>21834.375577236617</v>
      </c>
    </row>
    <row r="30" spans="1:13">
      <c r="A30" s="14"/>
      <c r="F30" s="15"/>
      <c r="G30" s="3"/>
      <c r="H30" s="3"/>
      <c r="I30" s="3"/>
      <c r="J30">
        <f t="shared" si="0"/>
        <v>49</v>
      </c>
      <c r="K30" s="1">
        <f t="shared" si="1"/>
        <v>203279.41064604034</v>
      </c>
      <c r="L30" s="1">
        <f t="shared" si="2"/>
        <v>18295.146958143629</v>
      </c>
      <c r="M30" s="1">
        <f t="shared" si="3"/>
        <v>21728.895501984262</v>
      </c>
    </row>
    <row r="31" spans="1:13">
      <c r="A31" s="16" t="s">
        <v>20</v>
      </c>
      <c r="B31" s="2" t="s">
        <v>7</v>
      </c>
      <c r="F31" s="15"/>
      <c r="J31">
        <f t="shared" si="0"/>
        <v>50</v>
      </c>
      <c r="K31" s="31">
        <f t="shared" si="1"/>
        <v>209377.79296542157</v>
      </c>
      <c r="L31" s="1">
        <f t="shared" si="2"/>
        <v>18844.00136688794</v>
      </c>
      <c r="M31" s="1">
        <f t="shared" si="3"/>
        <v>21623.924992312845</v>
      </c>
    </row>
    <row r="32" spans="1:13">
      <c r="A32" s="17" t="s">
        <v>14</v>
      </c>
      <c r="F32" s="15"/>
      <c r="J32">
        <f t="shared" ref="J32:J35" si="6">J31+1</f>
        <v>51</v>
      </c>
      <c r="K32" s="31">
        <f t="shared" ref="K32:K35" si="7">K31*(1+$B$7)</f>
        <v>215659.12675438423</v>
      </c>
      <c r="L32" s="1">
        <f t="shared" si="2"/>
        <v>19409.321407894578</v>
      </c>
      <c r="M32" s="1">
        <f t="shared" ref="M32:M35" si="8">L32*(1+$B$10)^(54-J32)</f>
        <v>21519.461586552879</v>
      </c>
    </row>
    <row r="33" spans="1:13">
      <c r="A33" s="18" t="s">
        <v>3</v>
      </c>
      <c r="B33" s="2">
        <v>25</v>
      </c>
      <c r="C33" s="2">
        <v>35</v>
      </c>
      <c r="D33" s="2">
        <v>45</v>
      </c>
      <c r="E33" s="2">
        <v>55</v>
      </c>
      <c r="F33" s="19" t="s">
        <v>8</v>
      </c>
      <c r="J33">
        <f t="shared" si="6"/>
        <v>52</v>
      </c>
      <c r="K33" s="31">
        <f t="shared" si="7"/>
        <v>222128.90055701576</v>
      </c>
      <c r="L33" s="1">
        <f t="shared" si="2"/>
        <v>19991.601050131419</v>
      </c>
      <c r="M33" s="1">
        <f t="shared" si="8"/>
        <v>21415.502834927029</v>
      </c>
    </row>
    <row r="34" spans="1:13">
      <c r="A34" s="16">
        <v>55</v>
      </c>
      <c r="B34" s="1">
        <f>$B$6*$B$3*((1-$B$8^($A34-B$33))/(1-$B$8))*((1+$B$10)^($A34-B$33-1))*$F$34</f>
        <v>398758.28580273845</v>
      </c>
      <c r="C34" s="1">
        <f t="shared" ref="C34:E34" si="9">$B$6*$B$3*((1-$B$8^($A34-C$33))/(1-$B$8))*((1+$B$10)^($A34-C$33-1))*$F$34</f>
        <v>192982.73747125853</v>
      </c>
      <c r="D34" s="1">
        <f t="shared" si="9"/>
        <v>70060.510712492833</v>
      </c>
      <c r="E34" s="1">
        <f t="shared" si="9"/>
        <v>0</v>
      </c>
      <c r="F34" s="20">
        <v>0.5837</v>
      </c>
      <c r="J34">
        <f t="shared" si="6"/>
        <v>53</v>
      </c>
      <c r="K34" s="31">
        <f t="shared" si="7"/>
        <v>228792.76757372625</v>
      </c>
      <c r="L34" s="1">
        <f t="shared" si="2"/>
        <v>20591.349081635362</v>
      </c>
      <c r="M34" s="1">
        <f t="shared" si="8"/>
        <v>21312.046299492598</v>
      </c>
    </row>
    <row r="35" spans="1:13">
      <c r="A35" s="16">
        <v>65</v>
      </c>
      <c r="B35" s="1">
        <f t="shared" ref="B35:E36" si="10">$B$6*$B$3*((1-$B$8^($A35-B$33))/(1-$B$8))*((1+$B$10)^($A35-B$33-1))</f>
        <v>1254999.4725125255</v>
      </c>
      <c r="C35" s="1">
        <f t="shared" si="10"/>
        <v>683156.22032334842</v>
      </c>
      <c r="D35" s="1">
        <f t="shared" si="10"/>
        <v>330619.7318335764</v>
      </c>
      <c r="E35" s="1">
        <f t="shared" si="10"/>
        <v>120028.28629860003</v>
      </c>
      <c r="F35" s="15"/>
      <c r="J35">
        <f t="shared" si="6"/>
        <v>54</v>
      </c>
      <c r="K35" s="31">
        <f t="shared" si="7"/>
        <v>235656.55060093803</v>
      </c>
      <c r="L35" s="1">
        <f t="shared" si="2"/>
        <v>21209.089554084421</v>
      </c>
      <c r="M35" s="1">
        <f t="shared" si="8"/>
        <v>21209.089554084421</v>
      </c>
    </row>
    <row r="36" spans="1:13" ht="15.75" thickBot="1">
      <c r="A36" s="26">
        <v>75</v>
      </c>
      <c r="B36" s="27">
        <f t="shared" si="10"/>
        <v>2161837.5065212469</v>
      </c>
      <c r="C36" s="27">
        <f t="shared" si="10"/>
        <v>1254999.4725125255</v>
      </c>
      <c r="D36" s="27">
        <f t="shared" si="10"/>
        <v>683156.22032334842</v>
      </c>
      <c r="E36" s="27">
        <f t="shared" si="10"/>
        <v>330619.7318335764</v>
      </c>
      <c r="F36" s="23"/>
      <c r="K36" s="1"/>
      <c r="L36" s="1"/>
      <c r="M36" s="1"/>
    </row>
    <row r="37" spans="1:13" ht="15.75" thickBot="1">
      <c r="K37" s="1"/>
      <c r="L37" s="1"/>
      <c r="M37" s="1"/>
    </row>
    <row r="38" spans="1:13">
      <c r="A38" s="11" t="s">
        <v>22</v>
      </c>
      <c r="B38" s="12"/>
      <c r="C38" s="12"/>
      <c r="D38" s="12"/>
      <c r="E38" s="12"/>
      <c r="F38" s="13"/>
      <c r="K38" s="1"/>
      <c r="L38" s="10" t="s">
        <v>18</v>
      </c>
      <c r="M38" s="30">
        <f>SUM(M6:M36)</f>
        <v>683156.22032335121</v>
      </c>
    </row>
    <row r="39" spans="1:13">
      <c r="A39" s="14"/>
      <c r="F39" s="15"/>
    </row>
    <row r="40" spans="1:13">
      <c r="A40" s="16" t="s">
        <v>21</v>
      </c>
      <c r="B40" s="2" t="s">
        <v>23</v>
      </c>
      <c r="F40" s="15"/>
    </row>
    <row r="41" spans="1:13">
      <c r="A41" s="17" t="s">
        <v>14</v>
      </c>
      <c r="F41" s="15"/>
    </row>
    <row r="42" spans="1:13">
      <c r="A42" s="18" t="s">
        <v>3</v>
      </c>
      <c r="B42" s="2">
        <v>25</v>
      </c>
      <c r="C42" s="2">
        <v>35</v>
      </c>
      <c r="D42" s="2">
        <v>45</v>
      </c>
      <c r="E42" s="2">
        <v>55</v>
      </c>
      <c r="F42" s="19" t="s">
        <v>8</v>
      </c>
    </row>
    <row r="43" spans="1:13">
      <c r="A43" s="16">
        <v>55</v>
      </c>
      <c r="B43" s="1">
        <f>B15/$F$43</f>
        <v>46299.034313095341</v>
      </c>
      <c r="C43" s="1">
        <f t="shared" ref="C43:E43" si="11">C15/$F$43</f>
        <v>22406.843198330123</v>
      </c>
      <c r="D43" s="1">
        <f t="shared" si="11"/>
        <v>8134.5870542620669</v>
      </c>
      <c r="E43" s="1">
        <f t="shared" si="11"/>
        <v>0</v>
      </c>
      <c r="F43" s="20">
        <f>PPAfactors!C58</f>
        <v>14.755301713282661</v>
      </c>
    </row>
    <row r="44" spans="1:13">
      <c r="A44" s="16">
        <v>65</v>
      </c>
      <c r="B44" s="1">
        <f>B16/$F$28</f>
        <v>103858.61481382983</v>
      </c>
      <c r="C44" s="1">
        <f t="shared" ref="C44:E44" si="12">C16/$F$28</f>
        <v>56535.210012629213</v>
      </c>
      <c r="D44" s="1">
        <f t="shared" si="12"/>
        <v>27360.734510597507</v>
      </c>
      <c r="E44" s="1">
        <f t="shared" si="12"/>
        <v>9933.0492374577261</v>
      </c>
      <c r="F44" s="15"/>
    </row>
    <row r="45" spans="1:13">
      <c r="A45" s="16">
        <v>75</v>
      </c>
      <c r="B45" s="1">
        <f>B17/$F$29</f>
        <v>244976.9173390675</v>
      </c>
      <c r="C45" s="1">
        <f t="shared" ref="C45:E45" si="13">C17/$F$29</f>
        <v>142215.0837474392</v>
      </c>
      <c r="D45" s="1">
        <f t="shared" si="13"/>
        <v>77414.470056599457</v>
      </c>
      <c r="E45" s="1">
        <f t="shared" si="13"/>
        <v>37465.444313801243</v>
      </c>
      <c r="F45" s="15"/>
    </row>
    <row r="46" spans="1:13">
      <c r="A46" s="14"/>
      <c r="B46" s="1"/>
      <c r="C46" s="1"/>
      <c r="D46" s="1"/>
      <c r="E46" s="1"/>
      <c r="F46" s="15"/>
    </row>
    <row r="47" spans="1:13">
      <c r="A47" s="14"/>
      <c r="F47" s="15"/>
    </row>
    <row r="48" spans="1:13">
      <c r="A48" s="16" t="s">
        <v>24</v>
      </c>
      <c r="F48" s="15"/>
    </row>
    <row r="49" spans="1:6">
      <c r="A49" s="14"/>
      <c r="F49" s="15"/>
    </row>
    <row r="50" spans="1:6">
      <c r="A50" s="17" t="s">
        <v>25</v>
      </c>
      <c r="B50" s="28">
        <v>1.4999999999999999E-2</v>
      </c>
      <c r="F50" s="15"/>
    </row>
    <row r="51" spans="1:6">
      <c r="A51" s="14"/>
      <c r="F51" s="15"/>
    </row>
    <row r="52" spans="1:6">
      <c r="A52" s="14"/>
      <c r="B52" s="2" t="s">
        <v>23</v>
      </c>
      <c r="F52" s="15"/>
    </row>
    <row r="53" spans="1:6">
      <c r="A53" s="17" t="s">
        <v>14</v>
      </c>
      <c r="B53" s="2">
        <v>25</v>
      </c>
      <c r="C53" s="2">
        <v>35</v>
      </c>
      <c r="D53" s="2">
        <v>45</v>
      </c>
      <c r="E53" s="2">
        <v>55</v>
      </c>
      <c r="F53" s="19" t="s">
        <v>8</v>
      </c>
    </row>
    <row r="54" spans="1:6">
      <c r="A54" s="18" t="s">
        <v>3</v>
      </c>
      <c r="F54" s="15"/>
    </row>
    <row r="55" spans="1:6">
      <c r="A55" s="16">
        <v>55</v>
      </c>
      <c r="B55" s="1">
        <f>B27/$F$43</f>
        <v>46079.388754229061</v>
      </c>
      <c r="C55" s="1">
        <f t="shared" ref="C55:E55" si="14">C27/$F$43</f>
        <v>22858.261849454961</v>
      </c>
      <c r="D55" s="1">
        <f t="shared" si="14"/>
        <v>8504.3467736476978</v>
      </c>
      <c r="E55" s="1">
        <f t="shared" si="14"/>
        <v>0</v>
      </c>
      <c r="F55" s="15">
        <f>PPAfactors!D86</f>
        <v>6.0442458340857188</v>
      </c>
    </row>
    <row r="56" spans="1:6">
      <c r="A56" s="16">
        <v>65</v>
      </c>
      <c r="B56" s="1">
        <f>B28/$F$28</f>
        <v>179270.13505101993</v>
      </c>
      <c r="C56" s="1">
        <f t="shared" ref="C56:E56" si="15">C28/$F$28</f>
        <v>100045.36246063354</v>
      </c>
      <c r="D56" s="1">
        <f t="shared" si="15"/>
        <v>49628.763613729796</v>
      </c>
      <c r="E56" s="1">
        <f t="shared" si="15"/>
        <v>18464.230504412171</v>
      </c>
      <c r="F56" s="15">
        <f>PPAfactors!D96</f>
        <v>3.3986017784025657</v>
      </c>
    </row>
    <row r="57" spans="1:6">
      <c r="A57" s="16">
        <v>75</v>
      </c>
      <c r="B57" s="1">
        <f>B29/$F$29</f>
        <v>301155.08852787304</v>
      </c>
      <c r="C57" s="1">
        <f t="shared" ref="C57:E57" si="16">C29/$F$29</f>
        <v>179270.13505101993</v>
      </c>
      <c r="D57" s="1">
        <f t="shared" si="16"/>
        <v>100045.36246063354</v>
      </c>
      <c r="E57" s="1">
        <f t="shared" si="16"/>
        <v>49628.763613729796</v>
      </c>
      <c r="F57" s="15">
        <f>PPAfactors!D106</f>
        <v>2.2799059106568431</v>
      </c>
    </row>
    <row r="58" spans="1:6">
      <c r="A58" s="14"/>
      <c r="F58" s="15"/>
    </row>
    <row r="59" spans="1:6">
      <c r="A59" s="16" t="s">
        <v>20</v>
      </c>
      <c r="B59" s="2" t="s">
        <v>23</v>
      </c>
      <c r="F59" s="15"/>
    </row>
    <row r="60" spans="1:6">
      <c r="A60" s="17" t="s">
        <v>14</v>
      </c>
      <c r="F60" s="15"/>
    </row>
    <row r="61" spans="1:6">
      <c r="A61" s="18" t="s">
        <v>3</v>
      </c>
      <c r="B61" s="2">
        <v>25</v>
      </c>
      <c r="C61" s="2">
        <v>35</v>
      </c>
      <c r="D61" s="2">
        <v>45</v>
      </c>
      <c r="E61" s="2">
        <v>55</v>
      </c>
      <c r="F61" s="19" t="s">
        <v>8</v>
      </c>
    </row>
    <row r="62" spans="1:6">
      <c r="A62" s="16">
        <v>55</v>
      </c>
      <c r="B62" s="1">
        <f>B34/$F$43</f>
        <v>27024.746328553749</v>
      </c>
      <c r="C62" s="1">
        <f t="shared" ref="C62:E62" si="17">C34/$F$43</f>
        <v>13078.874374865292</v>
      </c>
      <c r="D62" s="1">
        <f t="shared" si="17"/>
        <v>4748.1584635727686</v>
      </c>
      <c r="E62" s="1">
        <f t="shared" si="17"/>
        <v>0</v>
      </c>
      <c r="F62" s="20">
        <v>0.5837</v>
      </c>
    </row>
    <row r="63" spans="1:6">
      <c r="A63" s="16">
        <v>65</v>
      </c>
      <c r="B63" s="1">
        <f>B35/$F$28</f>
        <v>103858.61481382983</v>
      </c>
      <c r="C63" s="1">
        <f t="shared" ref="C63:E63" si="18">C35/$F$28</f>
        <v>56535.210012629213</v>
      </c>
      <c r="D63" s="1">
        <f t="shared" si="18"/>
        <v>27360.734510597507</v>
      </c>
      <c r="E63" s="1">
        <f t="shared" si="18"/>
        <v>9933.0492374577261</v>
      </c>
      <c r="F63" s="15"/>
    </row>
    <row r="64" spans="1:6">
      <c r="A64" s="16">
        <v>75</v>
      </c>
      <c r="B64" s="1">
        <f>B36/$F$29</f>
        <v>244976.9173390675</v>
      </c>
      <c r="C64" s="1">
        <f t="shared" ref="C64:E64" si="19">C36/$F$29</f>
        <v>142215.0837474392</v>
      </c>
      <c r="D64" s="1">
        <f t="shared" si="19"/>
        <v>77414.470056599457</v>
      </c>
      <c r="E64" s="1">
        <f t="shared" si="19"/>
        <v>37465.444313801243</v>
      </c>
      <c r="F64" s="15"/>
    </row>
    <row r="65" spans="1:6" ht="15.75" thickBot="1">
      <c r="A65" s="21"/>
      <c r="B65" s="22"/>
      <c r="C65" s="22"/>
      <c r="D65" s="22"/>
      <c r="E65" s="22"/>
      <c r="F65" s="23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DBDC age 55</vt:lpstr>
      <vt:lpstr>DBDC age 35_75</vt:lpstr>
      <vt:lpstr>PPAfactors</vt:lpstr>
      <vt:lpstr>Yearly S&amp;P 500</vt:lpstr>
      <vt:lpstr>DC Graded Contribution Fixed</vt:lpstr>
      <vt:lpstr>DC Bootstrap</vt:lpstr>
      <vt:lpstr>Compare_Jim</vt:lpstr>
      <vt:lpstr>Method Comparisons</vt:lpstr>
      <vt:lpstr>PPA Mortality</vt:lpstr>
      <vt:lpstr>PPA rates</vt:lpstr>
      <vt:lpstr>Bootstrap</vt:lpstr>
      <vt:lpstr>Contribution50000</vt:lpstr>
      <vt:lpstr>Sources</vt:lpstr>
      <vt:lpstr>DBDC age 25</vt:lpstr>
    </vt:vector>
  </TitlesOfParts>
  <Company>Bryant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Information Technology</dc:creator>
  <cp:lastModifiedBy>student</cp:lastModifiedBy>
  <dcterms:created xsi:type="dcterms:W3CDTF">2009-10-28T20:36:07Z</dcterms:created>
  <dcterms:modified xsi:type="dcterms:W3CDTF">2019-03-16T04:13:00Z</dcterms:modified>
</cp:coreProperties>
</file>